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 excel\"/>
    </mc:Choice>
  </mc:AlternateContent>
  <xr:revisionPtr revIDLastSave="0" documentId="13_ncr:1_{EA448F39-D56F-4A45-9C9D-708138986579}" xr6:coauthVersionLast="47" xr6:coauthVersionMax="47" xr10:uidLastSave="{00000000-0000-0000-0000-000000000000}"/>
  <bookViews>
    <workbookView xWindow="-108" yWindow="-108" windowWidth="23256" windowHeight="12456" activeTab="3" xr2:uid="{FC521975-1268-45AB-9E84-62D9ADA4A2D5}"/>
  </bookViews>
  <sheets>
    <sheet name="Students Statistical Cal" sheetId="1" r:id="rId1"/>
    <sheet name="Sales moving Average" sheetId="3" r:id="rId2"/>
    <sheet name="Type &amp; Strength of Relationship" sheetId="2" r:id="rId3"/>
    <sheet name="Time Series" sheetId="5" r:id="rId4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'Students Statistical Cal'!#REF!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C18" i="2"/>
  <c r="D18" i="2"/>
  <c r="C19" i="2"/>
  <c r="D19" i="2"/>
  <c r="C20" i="2"/>
  <c r="D20" i="2"/>
  <c r="B18" i="2"/>
  <c r="C19" i="1" l="1"/>
  <c r="D19" i="1"/>
  <c r="C20" i="1"/>
  <c r="D20" i="1"/>
  <c r="C18" i="1"/>
  <c r="D18" i="1"/>
  <c r="D6" i="3" l="1"/>
  <c r="D7" i="3"/>
  <c r="D8" i="3"/>
  <c r="D9" i="3"/>
  <c r="D10" i="3"/>
  <c r="D11" i="3"/>
  <c r="C4" i="3"/>
  <c r="C5" i="3"/>
  <c r="C6" i="3"/>
  <c r="C7" i="3"/>
  <c r="C8" i="3"/>
  <c r="C9" i="3"/>
  <c r="C10" i="3"/>
  <c r="C11" i="3"/>
  <c r="B20" i="2" l="1"/>
  <c r="B19" i="2"/>
  <c r="B20" i="1" l="1"/>
  <c r="B19" i="1"/>
  <c r="B18" i="1"/>
</calcChain>
</file>

<file path=xl/sharedStrings.xml><?xml version="1.0" encoding="utf-8"?>
<sst xmlns="http://schemas.openxmlformats.org/spreadsheetml/2006/main" count="289" uniqueCount="102">
  <si>
    <t>Students Name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</si>
  <si>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</si>
  <si>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</si>
  <si>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</si>
  <si>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</si>
  <si>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</si>
  <si>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</si>
  <si>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</si>
  <si>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</si>
  <si>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</si>
  <si>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</si>
  <si>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</si>
  <si>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</si>
  <si>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</si>
  <si>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</si>
  <si>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M1</t>
  </si>
  <si>
    <t>M2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</si>
  <si>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</si>
  <si>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</si>
  <si>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</si>
  <si>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</si>
  <si>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</si>
  <si>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</si>
  <si>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</si>
  <si>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</si>
  <si>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</si>
  <si>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</si>
  <si>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</si>
  <si>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</si>
  <si>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</si>
  <si>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</si>
  <si>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</si>
  <si>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</si>
  <si>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 xml:space="preserve"> 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</si>
  <si>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</si>
  <si>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</si>
  <si>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</si>
  <si>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</si>
  <si>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</si>
  <si>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</si>
  <si>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</si>
  <si>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</si>
  <si>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</si>
  <si>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</si>
  <si>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</si>
  <si>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</si>
  <si>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</si>
  <si>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</si>
  <si>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</si>
  <si>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</si>
  <si>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</si>
  <si>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</si>
  <si>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</si>
  <si>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</si>
  <si>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</si>
  <si>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</si>
  <si>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</si>
  <si>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M3</t>
  </si>
  <si>
    <t>a</t>
  </si>
  <si>
    <t>b</t>
  </si>
  <si>
    <t>c</t>
  </si>
  <si>
    <t>d</t>
  </si>
  <si>
    <t>e</t>
  </si>
  <si>
    <t>r</t>
  </si>
  <si>
    <t>t</t>
  </si>
  <si>
    <t>s</t>
  </si>
  <si>
    <t>w</t>
  </si>
  <si>
    <t>q</t>
  </si>
  <si>
    <t>Correlation Value</t>
  </si>
  <si>
    <t>Statistical Summary</t>
  </si>
  <si>
    <t>Manual Statistical Calulation Using formulas</t>
  </si>
  <si>
    <t>Name</t>
  </si>
  <si>
    <t>Sales</t>
  </si>
  <si>
    <t>Moving average of 3</t>
  </si>
  <si>
    <t>Moving Avergae of 5</t>
  </si>
  <si>
    <t>Sparkline</t>
  </si>
  <si>
    <t>Marks scored in periodic tests</t>
  </si>
  <si>
    <t>Line Graph of Marks in periodic test</t>
  </si>
  <si>
    <t>Bar Graph of Marks in periodic test</t>
  </si>
  <si>
    <t>M2 &amp; M3</t>
  </si>
  <si>
    <t>M1 &amp; M2</t>
  </si>
  <si>
    <t>M1 &amp; M3</t>
  </si>
  <si>
    <t>Correlational Mattrix</t>
  </si>
  <si>
    <t>Regression Analysis Between M1 &amp; M2</t>
  </si>
  <si>
    <t>Regression Analysis Between M1 &amp; M3</t>
  </si>
  <si>
    <t>There is no relationship between the scores of students from periodic test M1 and M2</t>
  </si>
  <si>
    <t>There is a small negative correation between the scores of students from periodic test M1 and M3</t>
  </si>
  <si>
    <t>There is a small positive correation between the scores of students from periodic test M2 and M3</t>
  </si>
  <si>
    <t>Conclusion</t>
  </si>
  <si>
    <t>Regression Analysis Between M2 &amp; M1</t>
  </si>
  <si>
    <t>Regression Analysis Between M3 &amp; M2</t>
  </si>
  <si>
    <t>Regression Analysis Between M3 &amp; M1</t>
  </si>
  <si>
    <t>Dependent</t>
  </si>
  <si>
    <t>Independent</t>
  </si>
  <si>
    <t>There is weak negative relationship, which is not significant as p &gt; 0.05</t>
  </si>
  <si>
    <t>There is moderate negative relationship, which is not statistically significant at 5% and nearly significant at 10%</t>
  </si>
  <si>
    <t>There is moderate positive relationship, which is significant at 10% and nearly significant 5%.</t>
  </si>
  <si>
    <t>There is weak to moderate positive relationship, which is significant at 10% and nearly significant at 5%.</t>
  </si>
  <si>
    <t>There is weak to moderate negative relationship, which is not significant as p &gt; 0.05</t>
  </si>
  <si>
    <t>Sales (in Cr)</t>
  </si>
  <si>
    <t>Quarter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</si>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</sst>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2" fillId="0" borderId="0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"/>
    </xf>
    <xf numFmtId="0" fontId="0" fillId="0" borderId="0" xfId="0" applyNumberFormat="1" applyFill="1" applyBorder="1" applyAlignment="1"/>
    <xf numFmtId="10" fontId="0" fillId="0" borderId="0" xfId="0" applyNumberFormat="1" applyFill="1" applyBorder="1" applyAlignment="1"/>
    <xf numFmtId="0" fontId="2" fillId="0" borderId="0" xfId="0" applyFont="1" applyBorder="1" applyAlignment="1">
      <alignment horizontal="center"/>
    </xf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Fill="1" applyBorder="1"/>
    <xf numFmtId="0" fontId="3" fillId="0" borderId="3" xfId="0" applyFont="1" applyBorder="1" applyAlignment="1">
      <alignment horizontal="center"/>
    </xf>
    <xf numFmtId="0" fontId="3" fillId="0" borderId="3" xfId="0" applyFont="1" applyFill="1" applyBorder="1"/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Moving Average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'Sales moving Average'!$B$2:$B$11</c:f>
              <c:numCache>
                <c:formatCode>General</c:formatCode>
                <c:ptCount val="10"/>
                <c:pt idx="0">
                  <c:v>643</c:v>
                </c:pt>
                <c:pt idx="1">
                  <c:v>561</c:v>
                </c:pt>
                <c:pt idx="2">
                  <c:v>694</c:v>
                </c:pt>
                <c:pt idx="3">
                  <c:v>145</c:v>
                </c:pt>
                <c:pt idx="4">
                  <c:v>418</c:v>
                </c:pt>
                <c:pt idx="5">
                  <c:v>772</c:v>
                </c:pt>
                <c:pt idx="6">
                  <c:v>586</c:v>
                </c:pt>
                <c:pt idx="7">
                  <c:v>942</c:v>
                </c:pt>
                <c:pt idx="8">
                  <c:v>201</c:v>
                </c:pt>
                <c:pt idx="9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B-47AA-85B6-4FB41BA99C08}"/>
            </c:ext>
          </c:extLst>
        </c:ser>
        <c:ser>
          <c:idx val="1"/>
          <c:order val="1"/>
          <c:tx>
            <c:v>Forecast</c:v>
          </c:tx>
          <c:val>
            <c:numRef>
              <c:f>'Sales moving Average'!$C$2:$C$11</c:f>
              <c:numCache>
                <c:formatCode>General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632.66666666666663</c:v>
                </c:pt>
                <c:pt idx="3">
                  <c:v>466.66666666666669</c:v>
                </c:pt>
                <c:pt idx="4">
                  <c:v>419</c:v>
                </c:pt>
                <c:pt idx="5">
                  <c:v>445</c:v>
                </c:pt>
                <c:pt idx="6">
                  <c:v>592</c:v>
                </c:pt>
                <c:pt idx="7">
                  <c:v>766.66666666666663</c:v>
                </c:pt>
                <c:pt idx="8">
                  <c:v>576.33333333333337</c:v>
                </c:pt>
                <c:pt idx="9">
                  <c:v>643.66666666666663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7B-47AA-85B6-4FB41BA99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439344"/>
        <c:axId val="962440784"/>
      </c:lineChart>
      <c:catAx>
        <c:axId val="962439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962440784"/>
        <c:crosses val="autoZero"/>
        <c:auto val="1"/>
        <c:lblAlgn val="ctr"/>
        <c:lblOffset val="100"/>
        <c:noMultiLvlLbl val="0"/>
      </c:catAx>
      <c:valAx>
        <c:axId val="962440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24393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 of Marks in Periodic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'Type &amp; Strength of Relationship'!$B$3:$B$16</c:f>
              <c:numCache>
                <c:formatCode>General</c:formatCode>
                <c:ptCount val="14"/>
                <c:pt idx="0">
                  <c:v>68</c:v>
                </c:pt>
                <c:pt idx="1">
                  <c:v>47</c:v>
                </c:pt>
                <c:pt idx="2">
                  <c:v>9</c:v>
                </c:pt>
                <c:pt idx="3">
                  <c:v>72</c:v>
                </c:pt>
                <c:pt idx="4">
                  <c:v>23</c:v>
                </c:pt>
                <c:pt idx="5">
                  <c:v>62</c:v>
                </c:pt>
                <c:pt idx="6">
                  <c:v>94</c:v>
                </c:pt>
                <c:pt idx="7">
                  <c:v>66</c:v>
                </c:pt>
                <c:pt idx="8">
                  <c:v>27</c:v>
                </c:pt>
                <c:pt idx="9">
                  <c:v>79</c:v>
                </c:pt>
                <c:pt idx="10">
                  <c:v>51</c:v>
                </c:pt>
                <c:pt idx="11">
                  <c:v>73</c:v>
                </c:pt>
                <c:pt idx="12">
                  <c:v>91</c:v>
                </c:pt>
                <c:pt idx="1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BF-4CD6-A0AE-996C8E72E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773872"/>
        <c:axId val="1223772432"/>
      </c:lineChart>
      <c:catAx>
        <c:axId val="122377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72432"/>
        <c:crosses val="autoZero"/>
        <c:auto val="1"/>
        <c:lblAlgn val="ctr"/>
        <c:lblOffset val="100"/>
        <c:noMultiLvlLbl val="0"/>
      </c:catAx>
      <c:valAx>
        <c:axId val="122377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7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 Graph of Marks in Periodic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'Type &amp; Strength of Relationship'!$B$2</c:f>
              <c:strCache>
                <c:ptCount val="1"/>
                <c:pt idx="0">
                  <c:v>M1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'Type &amp; Strength of Relationship'!$A$3:$A$16</c:f>
              <c:strCache>
                <c:ptCount val="1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</c:strCache>
            </c:strRef>
          </c:cat>
          <c:val>
            <c:numRef>
              <c:f>'Type &amp; Strength of Relationship'!$B$3:$B$16</c:f>
              <c:numCache>
                <c:formatCode>General</c:formatCode>
                <c:ptCount val="14"/>
                <c:pt idx="0">
                  <c:v>68</c:v>
                </c:pt>
                <c:pt idx="1">
                  <c:v>47</c:v>
                </c:pt>
                <c:pt idx="2">
                  <c:v>9</c:v>
                </c:pt>
                <c:pt idx="3">
                  <c:v>72</c:v>
                </c:pt>
                <c:pt idx="4">
                  <c:v>23</c:v>
                </c:pt>
                <c:pt idx="5">
                  <c:v>62</c:v>
                </c:pt>
                <c:pt idx="6">
                  <c:v>94</c:v>
                </c:pt>
                <c:pt idx="7">
                  <c:v>66</c:v>
                </c:pt>
                <c:pt idx="8">
                  <c:v>27</c:v>
                </c:pt>
                <c:pt idx="9">
                  <c:v>79</c:v>
                </c:pt>
                <c:pt idx="10">
                  <c:v>51</c:v>
                </c:pt>
                <c:pt idx="11">
                  <c:v>73</c:v>
                </c:pt>
                <c:pt idx="12">
                  <c:v>91</c:v>
                </c:pt>
                <c:pt idx="1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0-431F-9849-882375BC15C0}"/>
            </c:ext>
          </c:extLst>
        </c:ser>
        <c:ser>
          <c:idx val="1"/>
          <c:order val="1"/>
          <c:tx>
            <c:strRef>
              <c:f>'Type &amp; Strength of Relationship'!$C$2</c:f>
              <c:strCache>
                <c:ptCount val="1"/>
                <c:pt idx="0">
                  <c:v>M2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'Type &amp; Strength of Relationship'!$A$3:$A$16</c:f>
              <c:strCache>
                <c:ptCount val="1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</c:strCache>
            </c:strRef>
          </c:cat>
          <c:val>
            <c:numRef>
              <c:f>'Type &amp; Strength of Relationship'!$C$3:$C$16</c:f>
              <c:numCache>
                <c:formatCode>General</c:formatCode>
                <c:ptCount val="14"/>
                <c:pt idx="0">
                  <c:v>24</c:v>
                </c:pt>
                <c:pt idx="1">
                  <c:v>24</c:v>
                </c:pt>
                <c:pt idx="2">
                  <c:v>93</c:v>
                </c:pt>
                <c:pt idx="3">
                  <c:v>37</c:v>
                </c:pt>
                <c:pt idx="4">
                  <c:v>39</c:v>
                </c:pt>
                <c:pt idx="5">
                  <c:v>17</c:v>
                </c:pt>
                <c:pt idx="6">
                  <c:v>46</c:v>
                </c:pt>
                <c:pt idx="7">
                  <c:v>77</c:v>
                </c:pt>
                <c:pt idx="8">
                  <c:v>30</c:v>
                </c:pt>
                <c:pt idx="9">
                  <c:v>83</c:v>
                </c:pt>
                <c:pt idx="10">
                  <c:v>84</c:v>
                </c:pt>
                <c:pt idx="11">
                  <c:v>32</c:v>
                </c:pt>
                <c:pt idx="12">
                  <c:v>35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0-431F-9849-882375BC15C0}"/>
            </c:ext>
          </c:extLst>
        </c:ser>
        <c:ser>
          <c:idx val="2"/>
          <c:order val="2"/>
          <c:tx>
            <c:strRef>
              <c:f>'Type &amp; Strength of Relationship'!$D$2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'Type &amp; Strength of Relationship'!$A$3:$A$16</c:f>
              <c:strCache>
                <c:ptCount val="14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  <c:pt idx="8">
                  <c:v>S9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</c:strCache>
            </c:strRef>
          </c:cat>
          <c:val>
            <c:numRef>
              <c:f>'Type &amp; Strength of Relationship'!$D$3:$D$16</c:f>
              <c:numCache>
                <c:formatCode>General</c:formatCode>
                <c:ptCount val="14"/>
                <c:pt idx="0">
                  <c:v>24</c:v>
                </c:pt>
                <c:pt idx="1">
                  <c:v>24</c:v>
                </c:pt>
                <c:pt idx="2">
                  <c:v>93</c:v>
                </c:pt>
                <c:pt idx="3">
                  <c:v>37</c:v>
                </c:pt>
                <c:pt idx="4">
                  <c:v>39</c:v>
                </c:pt>
                <c:pt idx="5">
                  <c:v>17</c:v>
                </c:pt>
                <c:pt idx="6">
                  <c:v>46</c:v>
                </c:pt>
                <c:pt idx="7">
                  <c:v>77</c:v>
                </c:pt>
                <c:pt idx="8">
                  <c:v>30</c:v>
                </c:pt>
                <c:pt idx="9">
                  <c:v>-21</c:v>
                </c:pt>
                <c:pt idx="10">
                  <c:v>84</c:v>
                </c:pt>
                <c:pt idx="11">
                  <c:v>32</c:v>
                </c:pt>
                <c:pt idx="12">
                  <c:v>35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40-431F-9849-882375BC1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81823"/>
        <c:axId val="562982783"/>
      </c:barChart>
      <c:catAx>
        <c:axId val="5629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82783"/>
        <c:crosses val="autoZero"/>
        <c:auto val="1"/>
        <c:lblAlgn val="ctr"/>
        <c:lblOffset val="100"/>
        <c:noMultiLvlLbl val="0"/>
      </c:catAx>
      <c:valAx>
        <c:axId val="56298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8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series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Series'!$C$1</c:f>
              <c:strCache>
                <c:ptCount val="1"/>
                <c:pt idx="0">
                  <c:v>Sales (in Cr)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'Time Series'!$A$1:$B$13</c:f>
              <c:multiLvlStrCache>
                <c:ptCount val="13"/>
                <c:lvl>
                  <c:pt idx="0">
                    <c:v>Quarter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1</c:v>
                  </c:pt>
                  <c:pt idx="10">
                    <c:v>2</c:v>
                  </c:pt>
                  <c:pt idx="11">
                    <c:v>3</c:v>
                  </c:pt>
                  <c:pt idx="12">
                    <c:v>4</c:v>
                  </c:pt>
                </c:lvl>
                <c:lvl>
                  <c:pt idx="0">
                    <c:v>Year</c:v>
                  </c:pt>
                  <c:pt idx="1">
                    <c:v>1</c:v>
                  </c:pt>
                  <c:pt idx="5">
                    <c:v>2</c:v>
                  </c:pt>
                  <c:pt idx="9">
                    <c:v>3</c:v>
                  </c:pt>
                </c:lvl>
              </c:multiLvlStrCache>
            </c:multiLvlStrRef>
          </c:cat>
          <c:val>
            <c:numRef>
              <c:f>'Time Series'!$C$2:$C$13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46-4C5C-AA5C-3FA596BC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8022768"/>
        <c:axId val="1178010768"/>
      </c:lineChart>
      <c:catAx>
        <c:axId val="117802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10768"/>
        <c:crosses val="autoZero"/>
        <c:auto val="1"/>
        <c:lblAlgn val="ctr"/>
        <c:lblOffset val="100"/>
        <c:noMultiLvlLbl val="0"/>
      </c:catAx>
      <c:valAx>
        <c:axId val="117801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02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0</xdr:row>
      <xdr:rowOff>22860</xdr:rowOff>
    </xdr:from>
    <xdr:to>
      <xdr:col>12</xdr:col>
      <xdr:colOff>571500</xdr:colOff>
      <xdr:row>11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D224FD-56C7-862F-E9F7-BC07EBD5B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1</xdr:row>
      <xdr:rowOff>7620</xdr:rowOff>
    </xdr:from>
    <xdr:to>
      <xdr:col>11</xdr:col>
      <xdr:colOff>373380</xdr:colOff>
      <xdr:row>9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126BD3-767F-6902-AC11-B9316337D2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327660</xdr:colOff>
      <xdr:row>10</xdr:row>
      <xdr:rowOff>80010</xdr:rowOff>
    </xdr:from>
    <xdr:to>
      <xdr:col>11</xdr:col>
      <xdr:colOff>441960</xdr:colOff>
      <xdr:row>25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62D79-32B1-7A75-7653-CA7026357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0</xdr:row>
      <xdr:rowOff>34290</xdr:rowOff>
    </xdr:from>
    <xdr:to>
      <xdr:col>12</xdr:col>
      <xdr:colOff>335280</xdr:colOff>
      <xdr:row>15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DD796-0814-F457-7F0E-806935CDB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51E23-E45C-42BC-B619-978B353A952E}" name="Table2" displayName="Table2" ref="A1:D15" totalsRowShown="0" headerRowDxfId="0">
  <autoFilter ref="A1:D15" xr:uid="{97151E23-E45C-42BC-B619-978B353A952E}"/>
  <tableColumns count="4">
    <tableColumn id="1" xr3:uid="{94864A2E-8C14-451D-83B4-AF5806909943}" name="Students Name"/>
    <tableColumn id="2" xr3:uid="{ADFE7853-399D-4215-A6E5-005B39828E48}" name="M1"/>
    <tableColumn id="3" xr3:uid="{60F74340-E8C0-4FD7-92C4-F97D56FF6E87}" name="M2"/>
    <tableColumn id="4" xr3:uid="{6F1FD8F9-4740-4502-B956-51D6E604ECE0}" name="M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95E880-1234-48F6-86A8-91D65B1B9518}" name="Table1" displayName="Table1" ref="A1:D11" totalsRowShown="0">
  <autoFilter ref="A1:D11" xr:uid="{C395E880-1234-48F6-86A8-91D65B1B9518}"/>
  <tableColumns count="4">
    <tableColumn id="1" xr3:uid="{E074FAFC-4401-4771-B66F-E2517AA019FE}" name="Name" dataDxfId="1"/>
    <tableColumn id="2" xr3:uid="{2C94AFBD-68F8-4C22-847A-36E0E158C9D6}" name="Sales"/>
    <tableColumn id="3" xr3:uid="{3BF713AF-A87D-411B-9E94-F6326DF70E29}" name="Moving average of 3"/>
    <tableColumn id="4" xr3:uid="{B4FE60ED-76A9-402D-8A5F-9C521A754599}" name="Moving Avergae of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9C20FA-8493-44B9-80C3-C76FA04F6D11}">
  <we:reference id="wa104100404" version="3.0.0.1" store="en-US" storeType="OMEX"/>
  <we:alternateReferences>
    <we:reference id="WA104100404" version="3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7858-ED20-4D99-AED9-3EFD02C84005}">
  <dimension ref="A1:Q44"/>
  <sheetViews>
    <sheetView topLeftCell="A3" zoomScale="103" workbookViewId="0">
      <selection activeCell="E8" sqref="E8"/>
    </sheetView>
  </sheetViews>
  <sheetFormatPr defaultRowHeight="14.4" x14ac:dyDescent="0.3"/>
  <cols>
    <col min="1" max="1" width="21.6640625" bestFit="1" customWidth="1"/>
    <col min="5" max="5" width="24.88671875" customWidth="1"/>
    <col min="6" max="6" width="14.5546875" bestFit="1" customWidth="1"/>
    <col min="10" max="10" width="21.6640625" bestFit="1" customWidth="1"/>
  </cols>
  <sheetData>
    <row r="1" spans="1:17" x14ac:dyDescent="0.3">
      <c r="A1" s="4" t="s">
        <v>0</v>
      </c>
      <c r="B1" s="4" t="s">
        <v>15</v>
      </c>
      <c r="C1" s="4" t="s">
        <v>16</v>
      </c>
      <c r="D1" s="4" t="s">
        <v>57</v>
      </c>
      <c r="F1" s="14"/>
      <c r="G1" s="14"/>
      <c r="H1" s="14"/>
      <c r="I1" s="14"/>
    </row>
    <row r="2" spans="1:17" x14ac:dyDescent="0.3">
      <c r="A2" t="s">
        <v>1</v>
      </c>
      <c r="B2">
        <v>68</v>
      </c>
      <c r="C2">
        <v>24</v>
      </c>
      <c r="D2">
        <v>37</v>
      </c>
      <c r="F2" s="10"/>
      <c r="G2" s="10"/>
      <c r="H2" s="10"/>
      <c r="I2" s="10"/>
      <c r="J2" s="6"/>
      <c r="K2" s="6"/>
      <c r="L2" s="6"/>
      <c r="M2" s="6"/>
      <c r="N2" s="6"/>
    </row>
    <row r="3" spans="1:17" x14ac:dyDescent="0.3">
      <c r="A3" t="s">
        <v>2</v>
      </c>
      <c r="B3">
        <v>47</v>
      </c>
      <c r="C3">
        <v>24</v>
      </c>
      <c r="D3">
        <v>39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17" x14ac:dyDescent="0.3">
      <c r="A4" t="s">
        <v>3</v>
      </c>
      <c r="B4">
        <v>9</v>
      </c>
      <c r="C4">
        <v>93</v>
      </c>
      <c r="D4">
        <v>17</v>
      </c>
      <c r="F4" s="10"/>
      <c r="G4" s="15"/>
      <c r="H4" s="10"/>
      <c r="I4" s="16"/>
      <c r="J4" s="10"/>
      <c r="K4" s="15"/>
      <c r="L4" s="10"/>
      <c r="M4" s="16"/>
      <c r="N4" s="10"/>
      <c r="O4" s="15"/>
      <c r="P4" s="10"/>
      <c r="Q4" s="16"/>
    </row>
    <row r="5" spans="1:17" x14ac:dyDescent="0.3">
      <c r="A5" t="s">
        <v>4</v>
      </c>
      <c r="B5">
        <v>72</v>
      </c>
      <c r="C5">
        <v>37</v>
      </c>
      <c r="D5">
        <v>46</v>
      </c>
      <c r="F5" s="10"/>
      <c r="G5" s="15"/>
      <c r="H5" s="10"/>
      <c r="I5" s="16"/>
      <c r="J5" s="10"/>
      <c r="K5" s="15"/>
      <c r="L5" s="10"/>
      <c r="M5" s="16"/>
      <c r="N5" s="10"/>
      <c r="O5" s="15"/>
      <c r="P5" s="10"/>
      <c r="Q5" s="16"/>
    </row>
    <row r="6" spans="1:17" x14ac:dyDescent="0.3">
      <c r="A6" t="s">
        <v>5</v>
      </c>
      <c r="B6">
        <v>23</v>
      </c>
      <c r="C6">
        <v>39</v>
      </c>
      <c r="D6">
        <v>77</v>
      </c>
      <c r="F6" s="10"/>
      <c r="G6" s="15"/>
      <c r="H6" s="10"/>
      <c r="I6" s="16"/>
      <c r="J6" s="10"/>
      <c r="K6" s="15"/>
      <c r="L6" s="10"/>
      <c r="M6" s="16"/>
      <c r="N6" s="10"/>
      <c r="O6" s="15"/>
      <c r="P6" s="10"/>
      <c r="Q6" s="16"/>
    </row>
    <row r="7" spans="1:17" x14ac:dyDescent="0.3">
      <c r="A7" t="s">
        <v>6</v>
      </c>
      <c r="B7">
        <v>62</v>
      </c>
      <c r="C7">
        <v>17</v>
      </c>
      <c r="D7">
        <v>30</v>
      </c>
      <c r="E7" s="8"/>
      <c r="F7" s="10"/>
      <c r="G7" s="15"/>
      <c r="H7" s="10"/>
      <c r="I7" s="16"/>
      <c r="J7" s="10"/>
      <c r="K7" s="15"/>
      <c r="L7" s="10"/>
      <c r="M7" s="16"/>
      <c r="N7" s="10"/>
      <c r="O7" s="15"/>
      <c r="P7" s="10"/>
      <c r="Q7" s="16"/>
    </row>
    <row r="8" spans="1:17" x14ac:dyDescent="0.3">
      <c r="A8" t="s">
        <v>7</v>
      </c>
      <c r="B8">
        <v>94</v>
      </c>
      <c r="C8">
        <v>46</v>
      </c>
      <c r="D8">
        <v>83</v>
      </c>
      <c r="E8" s="6"/>
      <c r="F8" s="10"/>
      <c r="G8" s="15"/>
      <c r="H8" s="10"/>
      <c r="I8" s="16"/>
      <c r="J8" s="10"/>
      <c r="K8" s="15"/>
      <c r="L8" s="10"/>
      <c r="M8" s="16"/>
      <c r="N8" s="10"/>
      <c r="O8" s="15"/>
      <c r="P8" s="10"/>
      <c r="Q8" s="16"/>
    </row>
    <row r="9" spans="1:17" x14ac:dyDescent="0.3">
      <c r="A9" t="s">
        <v>8</v>
      </c>
      <c r="B9">
        <v>66</v>
      </c>
      <c r="C9">
        <v>77</v>
      </c>
      <c r="D9">
        <v>47</v>
      </c>
      <c r="E9" s="6"/>
      <c r="F9" s="10"/>
      <c r="G9" s="15"/>
      <c r="H9" s="10"/>
      <c r="I9" s="16"/>
      <c r="J9" s="10"/>
      <c r="K9" s="15"/>
      <c r="L9" s="10"/>
      <c r="M9" s="16"/>
      <c r="N9" s="10"/>
      <c r="O9" s="15"/>
      <c r="P9" s="10"/>
      <c r="Q9" s="16"/>
    </row>
    <row r="10" spans="1:17" x14ac:dyDescent="0.3">
      <c r="A10" t="s">
        <v>9</v>
      </c>
      <c r="B10">
        <v>27</v>
      </c>
      <c r="C10">
        <v>30</v>
      </c>
      <c r="D10">
        <v>9</v>
      </c>
      <c r="E10" s="6"/>
      <c r="F10" s="10"/>
      <c r="G10" s="15"/>
      <c r="H10" s="10"/>
      <c r="I10" s="16"/>
      <c r="J10" s="10"/>
      <c r="K10" s="15"/>
      <c r="L10" s="10"/>
      <c r="M10" s="16"/>
      <c r="N10" s="10"/>
      <c r="O10" s="15"/>
      <c r="P10" s="10"/>
      <c r="Q10" s="16"/>
    </row>
    <row r="11" spans="1:17" x14ac:dyDescent="0.3">
      <c r="A11" t="s">
        <v>10</v>
      </c>
      <c r="B11">
        <v>79</v>
      </c>
      <c r="C11">
        <v>83</v>
      </c>
      <c r="D11">
        <v>72</v>
      </c>
      <c r="E11" s="6"/>
      <c r="F11" s="10"/>
      <c r="G11" s="15"/>
      <c r="H11" s="10"/>
      <c r="I11" s="16"/>
      <c r="J11" s="10"/>
      <c r="K11" s="15"/>
      <c r="L11" s="10"/>
      <c r="M11" s="16"/>
      <c r="N11" s="10"/>
      <c r="O11" s="15"/>
      <c r="P11" s="10"/>
      <c r="Q11" s="16"/>
    </row>
    <row r="12" spans="1:17" x14ac:dyDescent="0.3">
      <c r="A12" t="s">
        <v>11</v>
      </c>
      <c r="B12">
        <v>51</v>
      </c>
      <c r="C12">
        <v>84</v>
      </c>
      <c r="D12">
        <v>23</v>
      </c>
      <c r="E12" s="6"/>
      <c r="F12" s="10"/>
      <c r="G12" s="15"/>
      <c r="H12" s="10"/>
      <c r="I12" s="16"/>
      <c r="J12" s="10"/>
      <c r="K12" s="15"/>
      <c r="L12" s="10"/>
      <c r="M12" s="16"/>
      <c r="N12" s="10"/>
      <c r="O12" s="15"/>
      <c r="P12" s="10"/>
      <c r="Q12" s="16"/>
    </row>
    <row r="13" spans="1:17" x14ac:dyDescent="0.3">
      <c r="A13" t="s">
        <v>12</v>
      </c>
      <c r="B13">
        <v>73</v>
      </c>
      <c r="C13">
        <v>32</v>
      </c>
      <c r="D13">
        <v>83</v>
      </c>
      <c r="E13" s="6"/>
      <c r="F13" s="10"/>
      <c r="G13" s="15"/>
      <c r="H13" s="10"/>
      <c r="I13" s="16"/>
      <c r="J13" s="10"/>
      <c r="K13" s="15"/>
      <c r="L13" s="10"/>
      <c r="M13" s="16"/>
      <c r="N13" s="10"/>
      <c r="O13" s="15"/>
      <c r="P13" s="10"/>
      <c r="Q13" s="16"/>
    </row>
    <row r="14" spans="1:17" x14ac:dyDescent="0.3">
      <c r="A14" t="s">
        <v>13</v>
      </c>
      <c r="B14">
        <v>91</v>
      </c>
      <c r="C14">
        <v>35</v>
      </c>
      <c r="D14">
        <v>84</v>
      </c>
      <c r="E14" s="6"/>
      <c r="F14" s="10"/>
      <c r="G14" s="15"/>
      <c r="H14" s="10"/>
      <c r="I14" s="16"/>
      <c r="J14" s="10"/>
      <c r="K14" s="15"/>
      <c r="L14" s="10"/>
      <c r="M14" s="16"/>
      <c r="N14" s="10"/>
      <c r="O14" s="15"/>
      <c r="P14" s="10"/>
      <c r="Q14" s="16"/>
    </row>
    <row r="15" spans="1:17" x14ac:dyDescent="0.3">
      <c r="A15" t="s">
        <v>14</v>
      </c>
      <c r="B15">
        <v>9</v>
      </c>
      <c r="C15">
        <v>72</v>
      </c>
      <c r="D15">
        <v>32</v>
      </c>
      <c r="E15" s="6"/>
      <c r="F15" s="10"/>
      <c r="G15" s="15"/>
      <c r="H15" s="10"/>
      <c r="I15" s="16"/>
      <c r="J15" s="10"/>
      <c r="K15" s="15"/>
      <c r="L15" s="10"/>
      <c r="M15" s="16"/>
      <c r="N15" s="10"/>
      <c r="O15" s="15"/>
      <c r="P15" s="10"/>
      <c r="Q15" s="16"/>
    </row>
    <row r="16" spans="1:17" x14ac:dyDescent="0.3">
      <c r="E16" s="6"/>
      <c r="F16" s="10"/>
      <c r="G16" s="15"/>
      <c r="H16" s="10"/>
      <c r="I16" s="16"/>
      <c r="J16" s="10"/>
      <c r="K16" s="15"/>
      <c r="L16" s="10"/>
      <c r="M16" s="16"/>
      <c r="N16" s="10"/>
      <c r="O16" s="15"/>
      <c r="P16" s="10"/>
      <c r="Q16" s="16"/>
    </row>
    <row r="17" spans="1:17" x14ac:dyDescent="0.3">
      <c r="A17" s="19" t="s">
        <v>70</v>
      </c>
      <c r="B17" s="19"/>
      <c r="C17" s="19"/>
      <c r="D17" s="19"/>
      <c r="E17" s="6"/>
      <c r="F17" s="10"/>
      <c r="G17" s="15"/>
      <c r="H17" s="10"/>
      <c r="I17" s="16"/>
      <c r="J17" s="10"/>
      <c r="K17" s="15"/>
      <c r="L17" s="10"/>
      <c r="M17" s="16"/>
      <c r="N17" s="10"/>
      <c r="O17" s="15"/>
      <c r="P17" s="10"/>
      <c r="Q17" s="16"/>
    </row>
    <row r="18" spans="1:17" x14ac:dyDescent="0.3">
      <c r="A18" s="18" t="s">
        <v>17</v>
      </c>
      <c r="B18" s="5">
        <f>AVERAGE(B2:B15)</f>
        <v>55.071428571428569</v>
      </c>
      <c r="C18" s="5">
        <f>AVERAGE(C2:C15)</f>
        <v>49.5</v>
      </c>
      <c r="D18" s="7">
        <f>AVERAGE(D2:D15)</f>
        <v>48.5</v>
      </c>
      <c r="E18" s="6"/>
      <c r="F18" s="10"/>
      <c r="G18" s="15"/>
      <c r="H18" s="10"/>
      <c r="I18" s="16"/>
      <c r="J18" s="10"/>
      <c r="K18" s="15"/>
      <c r="L18" s="10"/>
      <c r="M18" s="16"/>
      <c r="N18" s="10"/>
      <c r="O18" s="15"/>
      <c r="P18" s="10"/>
      <c r="Q18" s="16"/>
    </row>
    <row r="19" spans="1:17" x14ac:dyDescent="0.3">
      <c r="A19" s="18" t="s">
        <v>19</v>
      </c>
      <c r="B19" s="5">
        <f>MEDIAN(B2:B15)</f>
        <v>64</v>
      </c>
      <c r="C19" s="5">
        <f>MEDIAN(C2:C15)</f>
        <v>38</v>
      </c>
      <c r="D19" s="7">
        <f>MEDIAN(D2:D15)</f>
        <v>42.5</v>
      </c>
      <c r="E19" s="6"/>
      <c r="F19" s="10"/>
      <c r="G19" s="10"/>
      <c r="H19" s="10"/>
      <c r="I19" s="10"/>
      <c r="J19" s="10"/>
      <c r="K19" s="10"/>
      <c r="L19" s="10"/>
      <c r="M19" s="10"/>
      <c r="N19" s="10"/>
    </row>
    <row r="20" spans="1:17" x14ac:dyDescent="0.3">
      <c r="A20" s="18" t="s">
        <v>20</v>
      </c>
      <c r="B20" s="5">
        <f>MODE(B2:B15)</f>
        <v>9</v>
      </c>
      <c r="C20" s="5">
        <f>MODE(C2:C15)</f>
        <v>24</v>
      </c>
      <c r="D20" s="7">
        <f>MODE(D2:D15)</f>
        <v>83</v>
      </c>
      <c r="E20" s="6"/>
      <c r="F20" s="10"/>
      <c r="G20" s="10"/>
      <c r="H20" s="10"/>
      <c r="I20" s="10"/>
      <c r="J20" s="10"/>
      <c r="K20" s="10"/>
      <c r="L20" s="10"/>
      <c r="M20" s="10"/>
      <c r="N20" s="10"/>
    </row>
    <row r="21" spans="1:17" x14ac:dyDescent="0.3"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7" x14ac:dyDescent="0.3">
      <c r="A22" s="22" t="s">
        <v>68</v>
      </c>
      <c r="B22" s="22"/>
      <c r="E22" s="6"/>
      <c r="F22" s="6"/>
    </row>
    <row r="23" spans="1:17" x14ac:dyDescent="0.3">
      <c r="A23" s="23" t="s">
        <v>80</v>
      </c>
      <c r="B23" s="5">
        <f>CORREL(B2:B15,C2:C15)</f>
        <v>-0.28094944413766193</v>
      </c>
      <c r="E23" s="6"/>
      <c r="F23" s="6"/>
    </row>
    <row r="24" spans="1:17" x14ac:dyDescent="0.3">
      <c r="A24" s="18" t="s">
        <v>79</v>
      </c>
      <c r="B24" s="5">
        <f>CORREL(C2:C15,D2:D15)</f>
        <v>-0.16346386759713777</v>
      </c>
      <c r="E24" s="6"/>
      <c r="F24" s="6"/>
    </row>
    <row r="25" spans="1:17" x14ac:dyDescent="0.3">
      <c r="A25" s="23" t="s">
        <v>81</v>
      </c>
      <c r="B25" s="5">
        <f>CORREL(B2:B15,D2:D15)</f>
        <v>0.62160554242437971</v>
      </c>
    </row>
    <row r="26" spans="1:17" ht="15" thickBot="1" x14ac:dyDescent="0.35">
      <c r="A26" s="21"/>
    </row>
    <row r="27" spans="1:17" x14ac:dyDescent="0.3">
      <c r="A27" s="9" t="s">
        <v>69</v>
      </c>
      <c r="B27" s="9"/>
    </row>
    <row r="29" spans="1:17" x14ac:dyDescent="0.3">
      <c r="A29" t="s">
        <v>17</v>
      </c>
      <c r="B29">
        <v>55.071428571428569</v>
      </c>
    </row>
    <row r="30" spans="1:17" x14ac:dyDescent="0.3">
      <c r="A30" t="s">
        <v>18</v>
      </c>
      <c r="B30">
        <v>7.5828495656528636</v>
      </c>
    </row>
    <row r="31" spans="1:17" x14ac:dyDescent="0.3">
      <c r="A31" t="s">
        <v>19</v>
      </c>
      <c r="B31">
        <v>64</v>
      </c>
    </row>
    <row r="32" spans="1:17" x14ac:dyDescent="0.3">
      <c r="A32" t="s">
        <v>20</v>
      </c>
      <c r="B32">
        <v>9</v>
      </c>
    </row>
    <row r="33" spans="1:2" x14ac:dyDescent="0.3">
      <c r="A33" t="s">
        <v>21</v>
      </c>
      <c r="B33">
        <v>28.372425090120611</v>
      </c>
    </row>
    <row r="34" spans="1:2" x14ac:dyDescent="0.3">
      <c r="A34" t="s">
        <v>22</v>
      </c>
      <c r="B34">
        <v>804.99450549450557</v>
      </c>
    </row>
    <row r="35" spans="1:2" x14ac:dyDescent="0.3">
      <c r="A35" t="s">
        <v>23</v>
      </c>
      <c r="B35">
        <v>-0.96760617511949132</v>
      </c>
    </row>
    <row r="36" spans="1:2" x14ac:dyDescent="0.3">
      <c r="A36" t="s">
        <v>24</v>
      </c>
      <c r="B36">
        <v>-0.46285261902365094</v>
      </c>
    </row>
    <row r="37" spans="1:2" x14ac:dyDescent="0.3">
      <c r="A37" t="s">
        <v>25</v>
      </c>
      <c r="B37">
        <v>85</v>
      </c>
    </row>
    <row r="38" spans="1:2" x14ac:dyDescent="0.3">
      <c r="A38" t="s">
        <v>26</v>
      </c>
      <c r="B38">
        <v>9</v>
      </c>
    </row>
    <row r="39" spans="1:2" x14ac:dyDescent="0.3">
      <c r="A39" t="s">
        <v>27</v>
      </c>
      <c r="B39">
        <v>94</v>
      </c>
    </row>
    <row r="40" spans="1:2" x14ac:dyDescent="0.3">
      <c r="A40" t="s">
        <v>28</v>
      </c>
      <c r="B40">
        <v>771</v>
      </c>
    </row>
    <row r="41" spans="1:2" x14ac:dyDescent="0.3">
      <c r="A41" t="s">
        <v>29</v>
      </c>
      <c r="B41">
        <v>14</v>
      </c>
    </row>
    <row r="42" spans="1:2" x14ac:dyDescent="0.3">
      <c r="A42" t="s">
        <v>30</v>
      </c>
      <c r="B42">
        <v>94</v>
      </c>
    </row>
    <row r="43" spans="1:2" x14ac:dyDescent="0.3">
      <c r="A43" t="s">
        <v>31</v>
      </c>
      <c r="B43">
        <v>9</v>
      </c>
    </row>
    <row r="44" spans="1:2" ht="15" thickBot="1" x14ac:dyDescent="0.35">
      <c r="A44" s="1" t="s">
        <v>32</v>
      </c>
      <c r="B44" s="1">
        <v>16.381750528308942</v>
      </c>
    </row>
  </sheetData>
  <sortState xmlns:xlrd2="http://schemas.microsoft.com/office/spreadsheetml/2017/richdata2" ref="N4:Q18">
    <sortCondition ref="P5"/>
  </sortState>
  <mergeCells count="3">
    <mergeCell ref="A27:B27"/>
    <mergeCell ref="A17:D17"/>
    <mergeCell ref="A22:B2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3955-854A-42FA-B20F-D881F4FEC00F}">
  <dimension ref="A1:D12"/>
  <sheetViews>
    <sheetView workbookViewId="0">
      <selection activeCell="C19" sqref="C19"/>
    </sheetView>
  </sheetViews>
  <sheetFormatPr defaultRowHeight="14.4" x14ac:dyDescent="0.3"/>
  <cols>
    <col min="3" max="3" width="20.6640625" bestFit="1" customWidth="1"/>
    <col min="4" max="4" width="20.88671875" bestFit="1" customWidth="1"/>
  </cols>
  <sheetData>
    <row r="1" spans="1:4" x14ac:dyDescent="0.3">
      <c r="A1" s="3" t="s">
        <v>71</v>
      </c>
      <c r="B1" s="4" t="s">
        <v>72</v>
      </c>
      <c r="C1" s="4" t="s">
        <v>73</v>
      </c>
      <c r="D1" t="s">
        <v>74</v>
      </c>
    </row>
    <row r="2" spans="1:4" x14ac:dyDescent="0.3">
      <c r="A2" s="2" t="s">
        <v>58</v>
      </c>
      <c r="B2">
        <v>643</v>
      </c>
      <c r="C2" t="e">
        <v>#N/A</v>
      </c>
      <c r="D2" t="e">
        <v>#N/A</v>
      </c>
    </row>
    <row r="3" spans="1:4" x14ac:dyDescent="0.3">
      <c r="A3" s="2" t="s">
        <v>59</v>
      </c>
      <c r="B3">
        <v>561</v>
      </c>
      <c r="C3" t="e">
        <v>#N/A</v>
      </c>
      <c r="D3" t="e">
        <v>#N/A</v>
      </c>
    </row>
    <row r="4" spans="1:4" x14ac:dyDescent="0.3">
      <c r="A4" s="2" t="s">
        <v>60</v>
      </c>
      <c r="B4">
        <v>694</v>
      </c>
      <c r="C4">
        <f t="shared" ref="C4:C11" si="0">AVERAGE(B2:B4)</f>
        <v>632.66666666666663</v>
      </c>
      <c r="D4" t="e">
        <v>#N/A</v>
      </c>
    </row>
    <row r="5" spans="1:4" x14ac:dyDescent="0.3">
      <c r="A5" s="2" t="s">
        <v>61</v>
      </c>
      <c r="B5">
        <v>145</v>
      </c>
      <c r="C5">
        <f t="shared" si="0"/>
        <v>466.66666666666669</v>
      </c>
      <c r="D5" t="e">
        <v>#N/A</v>
      </c>
    </row>
    <row r="6" spans="1:4" x14ac:dyDescent="0.3">
      <c r="A6" s="2" t="s">
        <v>62</v>
      </c>
      <c r="B6">
        <v>418</v>
      </c>
      <c r="C6">
        <f t="shared" si="0"/>
        <v>419</v>
      </c>
      <c r="D6">
        <f t="shared" ref="D6:D11" si="1">SQRT(SUMXMY2(B4:B6,C4:C6)/3)</f>
        <v>189.06103266954321</v>
      </c>
    </row>
    <row r="7" spans="1:4" x14ac:dyDescent="0.3">
      <c r="A7" s="2" t="s">
        <v>63</v>
      </c>
      <c r="B7">
        <v>772</v>
      </c>
      <c r="C7">
        <f t="shared" si="0"/>
        <v>445</v>
      </c>
      <c r="D7">
        <f t="shared" si="1"/>
        <v>264.82663791270721</v>
      </c>
    </row>
    <row r="8" spans="1:4" x14ac:dyDescent="0.3">
      <c r="A8" s="2" t="s">
        <v>64</v>
      </c>
      <c r="B8">
        <v>586</v>
      </c>
      <c r="C8">
        <f t="shared" si="0"/>
        <v>592</v>
      </c>
      <c r="D8">
        <f t="shared" si="1"/>
        <v>188.82619874724307</v>
      </c>
    </row>
    <row r="9" spans="1:4" x14ac:dyDescent="0.3">
      <c r="A9" s="2" t="s">
        <v>65</v>
      </c>
      <c r="B9">
        <v>942</v>
      </c>
      <c r="C9">
        <f t="shared" si="0"/>
        <v>766.66666666666663</v>
      </c>
      <c r="D9">
        <f t="shared" si="1"/>
        <v>214.24812545098092</v>
      </c>
    </row>
    <row r="10" spans="1:4" x14ac:dyDescent="0.3">
      <c r="A10" s="2" t="s">
        <v>66</v>
      </c>
      <c r="B10">
        <v>201</v>
      </c>
      <c r="C10">
        <f t="shared" si="0"/>
        <v>576.33333333333337</v>
      </c>
      <c r="D10">
        <f t="shared" si="1"/>
        <v>239.20206861486304</v>
      </c>
    </row>
    <row r="11" spans="1:4" x14ac:dyDescent="0.3">
      <c r="A11" s="2" t="s">
        <v>67</v>
      </c>
      <c r="B11">
        <v>788</v>
      </c>
      <c r="C11">
        <f t="shared" si="0"/>
        <v>643.66666666666663</v>
      </c>
      <c r="D11">
        <f t="shared" si="1"/>
        <v>253.27784480026415</v>
      </c>
    </row>
    <row r="12" spans="1:4" x14ac:dyDescent="0.3">
      <c r="A12" s="2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4478-E890-47C3-996F-5DCE26A46429}">
  <dimension ref="A1:S103"/>
  <sheetViews>
    <sheetView workbookViewId="0">
      <selection activeCell="A26" sqref="A26:D26"/>
    </sheetView>
  </sheetViews>
  <sheetFormatPr defaultRowHeight="14.4" x14ac:dyDescent="0.3"/>
  <cols>
    <col min="1" max="1" width="16.109375" bestFit="1" customWidth="1"/>
    <col min="2" max="2" width="12.6640625" bestFit="1" customWidth="1"/>
    <col min="3" max="3" width="12.33203125" customWidth="1"/>
    <col min="4" max="4" width="24.33203125" customWidth="1"/>
    <col min="5" max="5" width="30.33203125" bestFit="1" customWidth="1"/>
    <col min="6" max="6" width="29.77734375" bestFit="1" customWidth="1"/>
    <col min="8" max="8" width="20.5546875" customWidth="1"/>
    <col min="9" max="9" width="11.21875" customWidth="1"/>
    <col min="11" max="11" width="17.44140625" bestFit="1" customWidth="1"/>
    <col min="12" max="12" width="12.6640625" bestFit="1" customWidth="1"/>
    <col min="13" max="13" width="13.44140625" bestFit="1" customWidth="1"/>
  </cols>
  <sheetData>
    <row r="1" spans="1:11" x14ac:dyDescent="0.3">
      <c r="B1" s="20" t="s">
        <v>76</v>
      </c>
      <c r="C1" s="20"/>
      <c r="D1" s="20"/>
      <c r="E1" s="20" t="s">
        <v>75</v>
      </c>
      <c r="F1" s="20"/>
    </row>
    <row r="2" spans="1:11" x14ac:dyDescent="0.3">
      <c r="A2" t="s">
        <v>0</v>
      </c>
      <c r="B2" t="s">
        <v>15</v>
      </c>
      <c r="C2" t="s">
        <v>16</v>
      </c>
      <c r="D2" t="s">
        <v>57</v>
      </c>
      <c r="E2" t="s">
        <v>77</v>
      </c>
      <c r="F2" t="s">
        <v>78</v>
      </c>
    </row>
    <row r="3" spans="1:11" ht="33.6" customHeight="1" x14ac:dyDescent="0.3">
      <c r="A3" t="s">
        <v>1</v>
      </c>
      <c r="B3">
        <v>68</v>
      </c>
      <c r="C3">
        <v>24</v>
      </c>
      <c r="D3">
        <v>24</v>
      </c>
    </row>
    <row r="4" spans="1:11" x14ac:dyDescent="0.3">
      <c r="A4" t="s">
        <v>2</v>
      </c>
      <c r="B4">
        <v>47</v>
      </c>
      <c r="C4">
        <v>24</v>
      </c>
      <c r="D4">
        <v>24</v>
      </c>
    </row>
    <row r="5" spans="1:11" x14ac:dyDescent="0.3">
      <c r="A5" t="s">
        <v>3</v>
      </c>
      <c r="B5">
        <v>9</v>
      </c>
      <c r="C5">
        <v>93</v>
      </c>
      <c r="D5">
        <v>93</v>
      </c>
    </row>
    <row r="6" spans="1:11" x14ac:dyDescent="0.3">
      <c r="A6" t="s">
        <v>4</v>
      </c>
      <c r="B6">
        <v>72</v>
      </c>
      <c r="C6">
        <v>37</v>
      </c>
      <c r="D6">
        <v>37</v>
      </c>
    </row>
    <row r="7" spans="1:11" ht="52.2" customHeight="1" x14ac:dyDescent="0.3">
      <c r="A7" t="s">
        <v>5</v>
      </c>
      <c r="B7">
        <v>23</v>
      </c>
      <c r="C7">
        <v>39</v>
      </c>
      <c r="D7">
        <v>39</v>
      </c>
    </row>
    <row r="8" spans="1:11" x14ac:dyDescent="0.3">
      <c r="A8" t="s">
        <v>6</v>
      </c>
      <c r="B8">
        <v>62</v>
      </c>
      <c r="C8">
        <v>17</v>
      </c>
      <c r="D8">
        <v>17</v>
      </c>
    </row>
    <row r="9" spans="1:11" x14ac:dyDescent="0.3">
      <c r="A9" t="s">
        <v>7</v>
      </c>
      <c r="B9">
        <v>94</v>
      </c>
      <c r="C9">
        <v>46</v>
      </c>
      <c r="D9">
        <v>46</v>
      </c>
    </row>
    <row r="10" spans="1:11" x14ac:dyDescent="0.3">
      <c r="A10" t="s">
        <v>8</v>
      </c>
      <c r="B10">
        <v>66</v>
      </c>
      <c r="C10">
        <v>77</v>
      </c>
      <c r="D10">
        <v>77</v>
      </c>
    </row>
    <row r="11" spans="1:11" x14ac:dyDescent="0.3">
      <c r="A11" t="s">
        <v>9</v>
      </c>
      <c r="B11">
        <v>27</v>
      </c>
      <c r="C11">
        <v>30</v>
      </c>
      <c r="D11">
        <v>30</v>
      </c>
      <c r="G11" s="17"/>
      <c r="H11" s="17"/>
      <c r="I11" s="17"/>
    </row>
    <row r="12" spans="1:11" x14ac:dyDescent="0.3">
      <c r="A12" t="s">
        <v>10</v>
      </c>
      <c r="B12">
        <v>79</v>
      </c>
      <c r="C12">
        <v>83</v>
      </c>
      <c r="D12">
        <v>-21</v>
      </c>
      <c r="G12" s="6"/>
      <c r="H12" s="6"/>
      <c r="I12" s="6"/>
    </row>
    <row r="13" spans="1:11" x14ac:dyDescent="0.3">
      <c r="A13" t="s">
        <v>11</v>
      </c>
      <c r="B13">
        <v>51</v>
      </c>
      <c r="C13">
        <v>84</v>
      </c>
      <c r="D13">
        <v>84</v>
      </c>
      <c r="G13" s="6"/>
      <c r="H13" s="6"/>
      <c r="I13" s="6"/>
    </row>
    <row r="14" spans="1:11" x14ac:dyDescent="0.3">
      <c r="A14" t="s">
        <v>12</v>
      </c>
      <c r="B14">
        <v>73</v>
      </c>
      <c r="C14">
        <v>32</v>
      </c>
      <c r="D14">
        <v>32</v>
      </c>
      <c r="G14" s="6"/>
      <c r="H14" s="6"/>
      <c r="I14" s="6"/>
      <c r="K14" t="s">
        <v>33</v>
      </c>
    </row>
    <row r="15" spans="1:11" x14ac:dyDescent="0.3">
      <c r="A15" t="s">
        <v>13</v>
      </c>
      <c r="B15">
        <v>91</v>
      </c>
      <c r="C15">
        <v>35</v>
      </c>
      <c r="D15">
        <v>35</v>
      </c>
      <c r="G15" s="6"/>
      <c r="H15" s="6"/>
      <c r="I15" s="6"/>
    </row>
    <row r="16" spans="1:11" x14ac:dyDescent="0.3">
      <c r="A16" t="s">
        <v>14</v>
      </c>
      <c r="B16">
        <v>9</v>
      </c>
      <c r="C16">
        <v>72</v>
      </c>
      <c r="D16">
        <v>72</v>
      </c>
      <c r="G16" s="6"/>
      <c r="H16" s="6"/>
      <c r="I16" s="6"/>
    </row>
    <row r="17" spans="1:19" ht="13.8" customHeight="1" x14ac:dyDescent="0.3">
      <c r="F17" s="6"/>
      <c r="G17" s="6"/>
      <c r="H17" s="6"/>
      <c r="I17" s="6"/>
    </row>
    <row r="18" spans="1:19" x14ac:dyDescent="0.3">
      <c r="A18" t="s">
        <v>17</v>
      </c>
      <c r="B18">
        <f>AVERAGE(B3:B16)</f>
        <v>55.071428571428569</v>
      </c>
      <c r="C18">
        <f t="shared" ref="C18:D18" si="0">AVERAGE(C3:C16)</f>
        <v>49.5</v>
      </c>
      <c r="D18">
        <f t="shared" si="0"/>
        <v>42.071428571428569</v>
      </c>
      <c r="F18" s="6"/>
      <c r="G18" s="6"/>
      <c r="H18" s="6"/>
      <c r="I18" s="6"/>
    </row>
    <row r="19" spans="1:19" x14ac:dyDescent="0.3">
      <c r="A19" t="s">
        <v>19</v>
      </c>
      <c r="B19">
        <f>MEDIAN(B3:B16)</f>
        <v>64</v>
      </c>
      <c r="C19">
        <f t="shared" ref="C19:D19" si="1">MEDIAN(C3:C16)</f>
        <v>38</v>
      </c>
      <c r="D19">
        <f t="shared" si="1"/>
        <v>36</v>
      </c>
      <c r="F19" s="6"/>
      <c r="G19" s="6"/>
      <c r="H19" s="6"/>
      <c r="I19" s="6"/>
    </row>
    <row r="20" spans="1:19" x14ac:dyDescent="0.3">
      <c r="A20" t="s">
        <v>20</v>
      </c>
      <c r="B20">
        <f>MODE(B3:B16)</f>
        <v>9</v>
      </c>
      <c r="C20">
        <f t="shared" ref="C20:D20" si="2">MODE(C3:C16)</f>
        <v>24</v>
      </c>
      <c r="D20">
        <f t="shared" si="2"/>
        <v>24</v>
      </c>
      <c r="F20" s="6"/>
      <c r="G20" s="6"/>
      <c r="H20" s="6"/>
      <c r="I20" s="6"/>
      <c r="K20" s="6"/>
      <c r="L20" s="6"/>
    </row>
    <row r="21" spans="1:19" x14ac:dyDescent="0.3">
      <c r="F21" s="6"/>
      <c r="G21" s="6"/>
      <c r="H21" s="6"/>
      <c r="I21" s="6"/>
      <c r="K21" s="6"/>
      <c r="L21" s="6"/>
    </row>
    <row r="22" spans="1:19" x14ac:dyDescent="0.3">
      <c r="F22" s="6"/>
      <c r="G22" s="6"/>
      <c r="H22" s="6"/>
      <c r="I22" s="6"/>
      <c r="K22" s="8"/>
      <c r="L22" s="8"/>
    </row>
    <row r="23" spans="1:19" x14ac:dyDescent="0.3">
      <c r="F23" s="6"/>
      <c r="G23" s="6"/>
      <c r="H23" s="6"/>
      <c r="I23" s="6"/>
      <c r="K23" s="6"/>
      <c r="L23" s="6"/>
    </row>
    <row r="24" spans="1:19" x14ac:dyDescent="0.3">
      <c r="F24" s="6"/>
      <c r="G24" s="6"/>
      <c r="H24" s="6"/>
      <c r="I24" s="6"/>
      <c r="K24" s="6"/>
      <c r="L24" s="6"/>
    </row>
    <row r="25" spans="1:19" x14ac:dyDescent="0.3">
      <c r="F25" s="6"/>
      <c r="G25" s="6"/>
      <c r="H25" s="6"/>
      <c r="I25" s="6"/>
      <c r="K25" s="6"/>
      <c r="L25" s="6"/>
    </row>
    <row r="26" spans="1:19" ht="15" thickBot="1" x14ac:dyDescent="0.35">
      <c r="A26" s="24" t="s">
        <v>82</v>
      </c>
      <c r="B26" s="24"/>
      <c r="C26" s="24"/>
      <c r="D26" s="24"/>
      <c r="F26" s="6"/>
      <c r="G26" s="6"/>
      <c r="H26" s="6"/>
      <c r="I26" s="6"/>
      <c r="K26" s="6"/>
      <c r="L26" s="6"/>
    </row>
    <row r="27" spans="1:19" x14ac:dyDescent="0.3">
      <c r="A27" s="12"/>
      <c r="B27" s="12" t="s">
        <v>15</v>
      </c>
      <c r="C27" s="12" t="s">
        <v>16</v>
      </c>
      <c r="D27" s="12" t="s">
        <v>57</v>
      </c>
      <c r="F27" s="6"/>
      <c r="G27" s="6"/>
      <c r="H27" s="6"/>
      <c r="I27" s="6"/>
      <c r="K27" s="6"/>
      <c r="L27" s="6"/>
    </row>
    <row r="28" spans="1:19" x14ac:dyDescent="0.3">
      <c r="A28" s="10" t="s">
        <v>15</v>
      </c>
      <c r="B28" s="10">
        <v>1</v>
      </c>
      <c r="C28" s="10"/>
      <c r="D28" s="10"/>
      <c r="F28" s="6"/>
      <c r="G28" s="6"/>
      <c r="H28" s="6"/>
      <c r="I28" s="6"/>
    </row>
    <row r="29" spans="1:19" x14ac:dyDescent="0.3">
      <c r="A29" s="10" t="s">
        <v>16</v>
      </c>
      <c r="B29" s="10">
        <v>-0.28094944413766193</v>
      </c>
      <c r="C29" s="10">
        <v>1</v>
      </c>
      <c r="D29" s="10"/>
      <c r="F29" s="6"/>
      <c r="G29" s="6"/>
      <c r="H29" s="6"/>
      <c r="I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5" thickBot="1" x14ac:dyDescent="0.35">
      <c r="A30" s="11" t="s">
        <v>57</v>
      </c>
      <c r="B30" s="11">
        <v>-0.46392720625058914</v>
      </c>
      <c r="C30" s="11">
        <v>0.52909470232012834</v>
      </c>
      <c r="D30" s="11">
        <v>1</v>
      </c>
      <c r="K30" s="17"/>
      <c r="L30" s="17"/>
      <c r="M30" s="17"/>
      <c r="N30" s="17"/>
      <c r="O30" s="17"/>
      <c r="P30" s="17"/>
      <c r="Q30" s="6"/>
      <c r="R30" s="6"/>
      <c r="S30" s="6"/>
    </row>
    <row r="31" spans="1:19" x14ac:dyDescent="0.3">
      <c r="A31" s="31" t="s">
        <v>88</v>
      </c>
      <c r="B31" s="31"/>
      <c r="C31" s="31"/>
      <c r="D31" s="31"/>
      <c r="E31" s="31"/>
      <c r="K31" s="17"/>
      <c r="L31" s="17"/>
      <c r="M31" s="17"/>
      <c r="N31" s="17"/>
      <c r="O31" s="17"/>
      <c r="P31" s="17"/>
      <c r="Q31" s="6"/>
      <c r="R31" s="6"/>
      <c r="S31" s="6"/>
    </row>
    <row r="32" spans="1:19" x14ac:dyDescent="0.3">
      <c r="A32" s="32" t="s">
        <v>85</v>
      </c>
      <c r="B32" s="32"/>
      <c r="C32" s="32"/>
      <c r="D32" s="32"/>
      <c r="E32" s="32"/>
      <c r="K32" s="17"/>
      <c r="L32" s="17"/>
      <c r="M32" s="17"/>
      <c r="N32" s="17"/>
      <c r="O32" s="17"/>
      <c r="P32" s="17"/>
      <c r="Q32" s="6"/>
      <c r="R32" s="6"/>
      <c r="S32" s="6"/>
    </row>
    <row r="33" spans="1:19" x14ac:dyDescent="0.3">
      <c r="A33" s="32" t="s">
        <v>87</v>
      </c>
      <c r="B33" s="32"/>
      <c r="C33" s="32"/>
      <c r="D33" s="32"/>
      <c r="E33" s="32"/>
      <c r="K33" s="17"/>
      <c r="L33" s="17"/>
      <c r="M33" s="17"/>
      <c r="N33" s="17"/>
      <c r="O33" s="17"/>
      <c r="P33" s="17"/>
      <c r="Q33" s="6"/>
      <c r="R33" s="6"/>
      <c r="S33" s="6"/>
    </row>
    <row r="34" spans="1:19" x14ac:dyDescent="0.3">
      <c r="A34" s="32" t="s">
        <v>86</v>
      </c>
      <c r="B34" s="32"/>
      <c r="C34" s="32"/>
      <c r="D34" s="32"/>
      <c r="E34" s="32"/>
      <c r="K34" s="17"/>
      <c r="L34" s="17"/>
      <c r="M34" s="17"/>
      <c r="N34" s="17"/>
      <c r="O34" s="17"/>
      <c r="P34" s="17"/>
      <c r="Q34" s="6"/>
      <c r="R34" s="6"/>
      <c r="S34" s="6"/>
    </row>
    <row r="35" spans="1:19" x14ac:dyDescent="0.3">
      <c r="K35" s="6"/>
      <c r="L35" s="6"/>
      <c r="M35" s="6"/>
      <c r="N35" s="6"/>
      <c r="O35" s="6"/>
      <c r="P35" s="6"/>
      <c r="Q35" s="6"/>
      <c r="R35" s="6"/>
      <c r="S35" s="6"/>
    </row>
    <row r="36" spans="1:19" x14ac:dyDescent="0.3">
      <c r="A36" s="26" t="s">
        <v>83</v>
      </c>
      <c r="B36" s="27"/>
      <c r="C36" s="27"/>
      <c r="D36" s="27"/>
      <c r="E36" s="27"/>
      <c r="F36" s="27"/>
      <c r="G36" s="27"/>
      <c r="H36" s="27"/>
      <c r="I36" s="27"/>
      <c r="K36" s="26" t="s">
        <v>89</v>
      </c>
      <c r="L36" s="27"/>
      <c r="M36" s="27"/>
      <c r="N36" s="27"/>
      <c r="O36" s="27"/>
      <c r="P36" s="27"/>
      <c r="Q36" s="27"/>
      <c r="R36" s="27"/>
      <c r="S36" s="27"/>
    </row>
    <row r="37" spans="1:19" s="6" customFormat="1" x14ac:dyDescent="0.3">
      <c r="A37" t="s">
        <v>34</v>
      </c>
      <c r="B37"/>
      <c r="C37"/>
      <c r="D37"/>
      <c r="E37"/>
      <c r="F37"/>
      <c r="G37"/>
      <c r="H37"/>
      <c r="I37"/>
      <c r="K37" t="s">
        <v>34</v>
      </c>
      <c r="L37"/>
      <c r="M37"/>
      <c r="N37"/>
      <c r="O37"/>
      <c r="P37"/>
      <c r="Q37"/>
      <c r="R37"/>
      <c r="S37"/>
    </row>
    <row r="38" spans="1:19" s="6" customFormat="1" x14ac:dyDescent="0.3">
      <c r="A38" s="33" t="s">
        <v>92</v>
      </c>
      <c r="B38" s="33" t="s">
        <v>15</v>
      </c>
      <c r="C38" s="33" t="s">
        <v>93</v>
      </c>
      <c r="D38" s="33" t="s">
        <v>16</v>
      </c>
      <c r="E38"/>
      <c r="F38"/>
      <c r="G38"/>
      <c r="H38"/>
      <c r="I38"/>
      <c r="K38" s="33" t="s">
        <v>92</v>
      </c>
      <c r="L38" s="33" t="s">
        <v>16</v>
      </c>
      <c r="M38" s="33" t="s">
        <v>93</v>
      </c>
      <c r="N38" s="33" t="s">
        <v>15</v>
      </c>
      <c r="O38"/>
      <c r="P38"/>
      <c r="Q38"/>
      <c r="R38"/>
      <c r="S38"/>
    </row>
    <row r="39" spans="1:19" s="6" customFormat="1" ht="15" thickBot="1" x14ac:dyDescent="0.35">
      <c r="A39" s="33"/>
      <c r="B39" s="33"/>
      <c r="C39" s="33"/>
      <c r="D39" s="33"/>
      <c r="E39"/>
      <c r="F39"/>
      <c r="G39"/>
      <c r="H39"/>
      <c r="I39"/>
      <c r="K39" s="33"/>
      <c r="L39" s="33"/>
      <c r="M39" s="33"/>
      <c r="N39" s="33"/>
      <c r="O39"/>
      <c r="P39"/>
      <c r="Q39"/>
      <c r="R39"/>
      <c r="S39"/>
    </row>
    <row r="40" spans="1:19" s="6" customFormat="1" x14ac:dyDescent="0.3">
      <c r="A40" s="13" t="s">
        <v>35</v>
      </c>
      <c r="B40" s="13"/>
      <c r="C40"/>
      <c r="D40"/>
      <c r="E40"/>
      <c r="F40"/>
      <c r="G40"/>
      <c r="H40"/>
      <c r="I40"/>
      <c r="K40" s="13" t="s">
        <v>35</v>
      </c>
      <c r="L40" s="13"/>
      <c r="M40"/>
      <c r="N40"/>
      <c r="O40"/>
      <c r="P40"/>
      <c r="Q40"/>
      <c r="R40"/>
      <c r="S40"/>
    </row>
    <row r="41" spans="1:19" s="6" customFormat="1" x14ac:dyDescent="0.3">
      <c r="A41" s="10" t="s">
        <v>36</v>
      </c>
      <c r="B41" s="10">
        <v>0.28094944413766221</v>
      </c>
      <c r="C41"/>
      <c r="D41"/>
      <c r="E41"/>
      <c r="F41"/>
      <c r="G41"/>
      <c r="H41"/>
      <c r="I41"/>
      <c r="K41" s="10" t="s">
        <v>36</v>
      </c>
      <c r="L41" s="10">
        <v>0.28094944413766165</v>
      </c>
      <c r="M41"/>
      <c r="N41"/>
      <c r="O41"/>
      <c r="P41"/>
      <c r="Q41"/>
      <c r="R41"/>
      <c r="S41"/>
    </row>
    <row r="42" spans="1:19" s="6" customFormat="1" x14ac:dyDescent="0.3">
      <c r="A42" s="10" t="s">
        <v>37</v>
      </c>
      <c r="B42" s="10">
        <v>7.8932590161261376E-2</v>
      </c>
      <c r="C42"/>
      <c r="D42"/>
      <c r="E42"/>
      <c r="F42"/>
      <c r="G42"/>
      <c r="H42"/>
      <c r="I42"/>
      <c r="K42" s="10" t="s">
        <v>37</v>
      </c>
      <c r="L42" s="10">
        <v>7.8932590161261071E-2</v>
      </c>
      <c r="M42"/>
      <c r="N42"/>
      <c r="O42"/>
      <c r="P42"/>
      <c r="Q42"/>
      <c r="R42"/>
      <c r="S42"/>
    </row>
    <row r="43" spans="1:19" s="6" customFormat="1" x14ac:dyDescent="0.3">
      <c r="A43" s="10" t="s">
        <v>38</v>
      </c>
      <c r="B43" s="10">
        <v>2.1769726746998321E-3</v>
      </c>
      <c r="C43"/>
      <c r="D43"/>
      <c r="E43"/>
      <c r="F43"/>
      <c r="G43"/>
      <c r="H43"/>
      <c r="I43"/>
      <c r="K43" s="10" t="s">
        <v>38</v>
      </c>
      <c r="L43" s="10">
        <v>2.1769726746994991E-3</v>
      </c>
      <c r="M43"/>
      <c r="N43"/>
      <c r="O43"/>
      <c r="P43"/>
      <c r="Q43"/>
      <c r="R43"/>
      <c r="S43"/>
    </row>
    <row r="44" spans="1:19" s="6" customFormat="1" x14ac:dyDescent="0.3">
      <c r="A44" s="10" t="s">
        <v>18</v>
      </c>
      <c r="B44" s="10">
        <v>28.341525266872292</v>
      </c>
      <c r="C44"/>
      <c r="D44"/>
      <c r="E44"/>
      <c r="F44"/>
      <c r="G44"/>
      <c r="H44"/>
      <c r="I44"/>
      <c r="K44" s="10" t="s">
        <v>18</v>
      </c>
      <c r="L44" s="10">
        <v>26.282354909146001</v>
      </c>
      <c r="M44"/>
      <c r="N44"/>
      <c r="O44"/>
      <c r="P44"/>
      <c r="Q44"/>
      <c r="R44"/>
      <c r="S44"/>
    </row>
    <row r="45" spans="1:19" s="6" customFormat="1" ht="15" thickBot="1" x14ac:dyDescent="0.35">
      <c r="A45" s="11" t="s">
        <v>39</v>
      </c>
      <c r="B45" s="11">
        <v>14</v>
      </c>
      <c r="C45"/>
      <c r="D45"/>
      <c r="E45"/>
      <c r="F45"/>
      <c r="G45"/>
      <c r="H45"/>
      <c r="I45"/>
      <c r="K45" s="11" t="s">
        <v>39</v>
      </c>
      <c r="L45" s="11">
        <v>14</v>
      </c>
      <c r="M45"/>
      <c r="N45"/>
      <c r="O45"/>
      <c r="P45"/>
      <c r="Q45"/>
      <c r="R45"/>
      <c r="S45"/>
    </row>
    <row r="46" spans="1:19" s="6" customFormat="1" x14ac:dyDescent="0.3">
      <c r="A46"/>
      <c r="B46"/>
      <c r="C46"/>
      <c r="D46"/>
      <c r="E46"/>
      <c r="F46"/>
      <c r="G46"/>
      <c r="H46"/>
      <c r="I46"/>
      <c r="K46"/>
      <c r="L46"/>
      <c r="M46"/>
      <c r="N46"/>
      <c r="O46"/>
      <c r="P46"/>
      <c r="Q46"/>
      <c r="R46"/>
      <c r="S46"/>
    </row>
    <row r="47" spans="1:19" s="6" customFormat="1" ht="15" thickBot="1" x14ac:dyDescent="0.35">
      <c r="A47" t="s">
        <v>40</v>
      </c>
      <c r="B47"/>
      <c r="C47"/>
      <c r="D47"/>
      <c r="E47"/>
      <c r="F47"/>
      <c r="G47"/>
      <c r="H47"/>
      <c r="I47"/>
      <c r="K47" t="s">
        <v>40</v>
      </c>
      <c r="L47"/>
      <c r="M47"/>
      <c r="N47"/>
      <c r="O47"/>
      <c r="P47"/>
      <c r="Q47"/>
      <c r="R47"/>
      <c r="S47"/>
    </row>
    <row r="48" spans="1:19" s="6" customFormat="1" x14ac:dyDescent="0.3">
      <c r="A48" s="12"/>
      <c r="B48" s="12" t="s">
        <v>45</v>
      </c>
      <c r="C48" s="12" t="s">
        <v>46</v>
      </c>
      <c r="D48" s="12" t="s">
        <v>47</v>
      </c>
      <c r="E48" s="12" t="s">
        <v>48</v>
      </c>
      <c r="F48" s="12" t="s">
        <v>49</v>
      </c>
      <c r="G48"/>
      <c r="H48"/>
      <c r="I48"/>
      <c r="K48" s="12"/>
      <c r="L48" s="12" t="s">
        <v>45</v>
      </c>
      <c r="M48" s="12" t="s">
        <v>46</v>
      </c>
      <c r="N48" s="12" t="s">
        <v>47</v>
      </c>
      <c r="O48" s="12" t="s">
        <v>48</v>
      </c>
      <c r="P48" s="12" t="s">
        <v>49</v>
      </c>
      <c r="Q48"/>
      <c r="R48"/>
      <c r="S48"/>
    </row>
    <row r="49" spans="1:19" s="6" customFormat="1" x14ac:dyDescent="0.3">
      <c r="A49" s="10" t="s">
        <v>41</v>
      </c>
      <c r="B49" s="10">
        <v>1</v>
      </c>
      <c r="C49" s="10">
        <v>826.02391799544603</v>
      </c>
      <c r="D49" s="10">
        <v>826.02391799544603</v>
      </c>
      <c r="E49" s="10">
        <v>1.0283623889167588</v>
      </c>
      <c r="F49" s="10">
        <v>0.33055452034192445</v>
      </c>
      <c r="H49"/>
      <c r="I49"/>
      <c r="K49" s="10" t="s">
        <v>41</v>
      </c>
      <c r="L49" s="10">
        <v>1</v>
      </c>
      <c r="M49" s="10">
        <v>710.35384515626902</v>
      </c>
      <c r="N49" s="10">
        <v>710.35384515626902</v>
      </c>
      <c r="O49" s="10">
        <v>1.0283623889167544</v>
      </c>
      <c r="P49" s="10">
        <v>0.33055452034192534</v>
      </c>
      <c r="Q49"/>
      <c r="R49"/>
      <c r="S49"/>
    </row>
    <row r="50" spans="1:19" s="6" customFormat="1" x14ac:dyDescent="0.3">
      <c r="A50" s="10" t="s">
        <v>42</v>
      </c>
      <c r="B50" s="10">
        <v>12</v>
      </c>
      <c r="C50" s="10">
        <v>9638.9046534331264</v>
      </c>
      <c r="D50" s="10">
        <v>803.2420544527605</v>
      </c>
      <c r="E50" s="10"/>
      <c r="F50" s="10"/>
      <c r="G50"/>
      <c r="H50"/>
      <c r="I50"/>
      <c r="K50" s="10" t="s">
        <v>42</v>
      </c>
      <c r="L50" s="10">
        <v>12</v>
      </c>
      <c r="M50" s="10">
        <v>8289.146154843731</v>
      </c>
      <c r="N50" s="10">
        <v>690.76217957031088</v>
      </c>
      <c r="O50" s="10"/>
      <c r="P50" s="10"/>
      <c r="Q50"/>
      <c r="R50"/>
      <c r="S50"/>
    </row>
    <row r="51" spans="1:19" s="6" customFormat="1" ht="15" thickBot="1" x14ac:dyDescent="0.35">
      <c r="A51" s="11" t="s">
        <v>43</v>
      </c>
      <c r="B51" s="11">
        <v>13</v>
      </c>
      <c r="C51" s="11">
        <v>10464.928571428572</v>
      </c>
      <c r="D51" s="11"/>
      <c r="E51" s="11"/>
      <c r="F51" s="11"/>
      <c r="G51"/>
      <c r="H51"/>
      <c r="I51"/>
      <c r="K51" s="11" t="s">
        <v>43</v>
      </c>
      <c r="L51" s="11">
        <v>13</v>
      </c>
      <c r="M51" s="11">
        <v>8999.5</v>
      </c>
      <c r="N51" s="11"/>
      <c r="O51" s="11"/>
      <c r="P51" s="11"/>
      <c r="Q51"/>
      <c r="R51"/>
      <c r="S51"/>
    </row>
    <row r="52" spans="1:19" s="6" customFormat="1" ht="15" thickBot="1" x14ac:dyDescent="0.35">
      <c r="A52"/>
      <c r="B52"/>
      <c r="C52"/>
      <c r="D52"/>
      <c r="E52"/>
      <c r="F52"/>
      <c r="G52"/>
      <c r="H52"/>
      <c r="I52"/>
      <c r="K52"/>
      <c r="L52"/>
      <c r="M52"/>
      <c r="N52"/>
      <c r="O52"/>
      <c r="P52"/>
      <c r="Q52"/>
      <c r="R52"/>
      <c r="S52"/>
    </row>
    <row r="53" spans="1:19" s="6" customFormat="1" x14ac:dyDescent="0.3">
      <c r="A53"/>
      <c r="B53" t="s">
        <v>50</v>
      </c>
      <c r="C53" t="s">
        <v>18</v>
      </c>
      <c r="D53" t="s">
        <v>51</v>
      </c>
      <c r="E53" t="s">
        <v>52</v>
      </c>
      <c r="F53" t="s">
        <v>53</v>
      </c>
      <c r="G53" t="s">
        <v>54</v>
      </c>
      <c r="H53" t="s">
        <v>55</v>
      </c>
      <c r="I53" t="s">
        <v>56</v>
      </c>
      <c r="K53" s="12"/>
      <c r="L53" s="12" t="s">
        <v>50</v>
      </c>
      <c r="M53" s="12" t="s">
        <v>18</v>
      </c>
      <c r="N53" s="12" t="s">
        <v>51</v>
      </c>
      <c r="O53" s="12" t="s">
        <v>52</v>
      </c>
      <c r="P53" s="12" t="s">
        <v>53</v>
      </c>
      <c r="Q53" s="12" t="s">
        <v>54</v>
      </c>
      <c r="R53" s="12" t="s">
        <v>55</v>
      </c>
      <c r="S53" s="12" t="s">
        <v>56</v>
      </c>
    </row>
    <row r="54" spans="1:19" s="6" customFormat="1" x14ac:dyDescent="0.3">
      <c r="A54" t="s">
        <v>44</v>
      </c>
      <c r="B54">
        <v>70.068011714936546</v>
      </c>
      <c r="C54">
        <v>16.615331218387826</v>
      </c>
      <c r="D54">
        <v>4.2170698130527668</v>
      </c>
      <c r="E54">
        <v>1.1951048891064261E-3</v>
      </c>
      <c r="F54">
        <v>33.866314887142728</v>
      </c>
      <c r="G54">
        <v>106.26970854273037</v>
      </c>
      <c r="H54">
        <v>33.866314887142728</v>
      </c>
      <c r="I54">
        <v>106.26970854273037</v>
      </c>
      <c r="K54" s="10" t="s">
        <v>44</v>
      </c>
      <c r="L54" s="10">
        <v>63.848139022176113</v>
      </c>
      <c r="M54" s="10">
        <v>15.796561290728715</v>
      </c>
      <c r="N54" s="10">
        <v>4.041901135764892</v>
      </c>
      <c r="O54" s="10">
        <v>1.6339054177511502E-3</v>
      </c>
      <c r="P54" s="10">
        <v>29.430388617311678</v>
      </c>
      <c r="Q54" s="10">
        <v>98.265889427040548</v>
      </c>
      <c r="R54" s="10">
        <v>29.430388617311678</v>
      </c>
      <c r="S54" s="10">
        <v>98.265889427040548</v>
      </c>
    </row>
    <row r="55" spans="1:19" s="6" customFormat="1" ht="15" thickBot="1" x14ac:dyDescent="0.35">
      <c r="A55" t="s">
        <v>16</v>
      </c>
      <c r="B55">
        <v>-0.30296127562642372</v>
      </c>
      <c r="C55">
        <v>0.29875420619830628</v>
      </c>
      <c r="D55">
        <v>-1.0140820424979218</v>
      </c>
      <c r="E55">
        <v>0.33055452034192467</v>
      </c>
      <c r="F55">
        <v>-0.95389077300834202</v>
      </c>
      <c r="G55">
        <v>0.34796822175549458</v>
      </c>
      <c r="H55">
        <v>-0.95389077300834202</v>
      </c>
      <c r="I55">
        <v>0.34796822175549458</v>
      </c>
      <c r="K55" s="11" t="s">
        <v>15</v>
      </c>
      <c r="L55" s="11">
        <v>-0.26053689534431335</v>
      </c>
      <c r="M55" s="11">
        <v>0.25691895174728663</v>
      </c>
      <c r="N55" s="11">
        <v>-1.0140820424979213</v>
      </c>
      <c r="O55" s="11">
        <v>0.33055452034192501</v>
      </c>
      <c r="P55" s="11">
        <v>-0.820315203595957</v>
      </c>
      <c r="Q55" s="11">
        <v>0.29924141290733031</v>
      </c>
      <c r="R55" s="11">
        <v>-0.820315203595957</v>
      </c>
      <c r="S55" s="11">
        <v>0.29924141290733031</v>
      </c>
    </row>
    <row r="56" spans="1:19" s="6" customFormat="1" x14ac:dyDescent="0.3">
      <c r="A56"/>
      <c r="B56"/>
      <c r="C56"/>
      <c r="D56"/>
      <c r="E56"/>
      <c r="F56"/>
      <c r="G56"/>
      <c r="H56"/>
      <c r="I56"/>
      <c r="K56" s="10"/>
      <c r="L56" s="10"/>
      <c r="M56" s="10"/>
      <c r="N56" s="10"/>
      <c r="O56" s="10"/>
      <c r="P56" s="10"/>
      <c r="Q56" s="10"/>
      <c r="R56" s="10"/>
      <c r="S56" s="10"/>
    </row>
    <row r="57" spans="1:19" s="6" customFormat="1" x14ac:dyDescent="0.3">
      <c r="A57" s="34" t="s">
        <v>94</v>
      </c>
      <c r="B57" s="34"/>
      <c r="C57" s="34"/>
      <c r="D57" s="34"/>
      <c r="E57" s="34"/>
      <c r="F57" s="34"/>
      <c r="G57" s="34"/>
      <c r="H57" s="34"/>
      <c r="I57" s="34"/>
      <c r="K57" s="34" t="s">
        <v>98</v>
      </c>
      <c r="L57" s="34"/>
      <c r="M57" s="34"/>
      <c r="N57" s="34"/>
      <c r="O57" s="34"/>
      <c r="P57" s="34"/>
      <c r="Q57" s="34"/>
      <c r="R57" s="34"/>
      <c r="S57" s="34"/>
    </row>
    <row r="59" spans="1:19" x14ac:dyDescent="0.3">
      <c r="A59" s="28" t="s">
        <v>90</v>
      </c>
      <c r="B59" s="29"/>
      <c r="C59" s="29"/>
      <c r="D59" s="29"/>
      <c r="E59" s="29"/>
      <c r="F59" s="29"/>
      <c r="G59" s="29"/>
      <c r="H59" s="29"/>
      <c r="I59" s="30"/>
      <c r="K59" s="28" t="s">
        <v>90</v>
      </c>
      <c r="L59" s="29"/>
      <c r="M59" s="29"/>
      <c r="N59" s="29"/>
      <c r="O59" s="29"/>
      <c r="P59" s="29"/>
      <c r="Q59" s="29"/>
      <c r="R59" s="29"/>
      <c r="S59" s="30"/>
    </row>
    <row r="60" spans="1:19" x14ac:dyDescent="0.3">
      <c r="A60" t="s">
        <v>34</v>
      </c>
      <c r="K60" t="s">
        <v>34</v>
      </c>
    </row>
    <row r="61" spans="1:19" x14ac:dyDescent="0.3">
      <c r="A61" s="33" t="s">
        <v>92</v>
      </c>
      <c r="B61" s="33" t="s">
        <v>57</v>
      </c>
      <c r="C61" s="33" t="s">
        <v>93</v>
      </c>
      <c r="D61" s="33" t="s">
        <v>16</v>
      </c>
      <c r="K61" s="33" t="s">
        <v>92</v>
      </c>
      <c r="L61" s="33" t="s">
        <v>16</v>
      </c>
      <c r="M61" s="33" t="s">
        <v>93</v>
      </c>
      <c r="N61" s="33" t="s">
        <v>57</v>
      </c>
    </row>
    <row r="62" spans="1:19" ht="15" thickBot="1" x14ac:dyDescent="0.35">
      <c r="A62" s="33"/>
      <c r="B62" s="33"/>
      <c r="C62" s="33"/>
      <c r="D62" s="33"/>
      <c r="K62" s="33"/>
      <c r="L62" s="33"/>
      <c r="M62" s="33"/>
      <c r="N62" s="33"/>
    </row>
    <row r="63" spans="1:19" x14ac:dyDescent="0.3">
      <c r="A63" s="13" t="s">
        <v>35</v>
      </c>
      <c r="B63" s="13"/>
      <c r="K63" s="13" t="s">
        <v>35</v>
      </c>
      <c r="L63" s="13"/>
    </row>
    <row r="64" spans="1:19" x14ac:dyDescent="0.3">
      <c r="A64" s="10" t="s">
        <v>36</v>
      </c>
      <c r="B64" s="10">
        <v>0.5290947023201279</v>
      </c>
      <c r="K64" s="10" t="s">
        <v>36</v>
      </c>
      <c r="L64" s="10">
        <v>0.52909470232012801</v>
      </c>
    </row>
    <row r="65" spans="1:19" x14ac:dyDescent="0.3">
      <c r="A65" s="10" t="s">
        <v>37</v>
      </c>
      <c r="B65" s="10">
        <v>0.27994120402322481</v>
      </c>
      <c r="K65" s="10" t="s">
        <v>37</v>
      </c>
      <c r="L65" s="10">
        <v>0.27994120402322487</v>
      </c>
    </row>
    <row r="66" spans="1:19" x14ac:dyDescent="0.3">
      <c r="A66" s="10" t="s">
        <v>38</v>
      </c>
      <c r="B66" s="10">
        <v>0.21993630435849354</v>
      </c>
      <c r="K66" s="10" t="s">
        <v>38</v>
      </c>
      <c r="L66" s="10">
        <v>0.21993630435849362</v>
      </c>
    </row>
    <row r="67" spans="1:19" x14ac:dyDescent="0.3">
      <c r="A67" s="10" t="s">
        <v>18</v>
      </c>
      <c r="B67" s="10">
        <v>26.917557047164742</v>
      </c>
      <c r="K67" s="10" t="s">
        <v>18</v>
      </c>
      <c r="L67" s="10">
        <v>23.238203341324585</v>
      </c>
    </row>
    <row r="68" spans="1:19" ht="15" thickBot="1" x14ac:dyDescent="0.35">
      <c r="A68" s="11" t="s">
        <v>39</v>
      </c>
      <c r="B68" s="11">
        <v>14</v>
      </c>
      <c r="K68" s="11" t="s">
        <v>39</v>
      </c>
      <c r="L68" s="11">
        <v>14</v>
      </c>
    </row>
    <row r="70" spans="1:19" ht="15" thickBot="1" x14ac:dyDescent="0.35">
      <c r="A70" t="s">
        <v>40</v>
      </c>
      <c r="K70" t="s">
        <v>40</v>
      </c>
    </row>
    <row r="71" spans="1:19" x14ac:dyDescent="0.3">
      <c r="A71" s="12"/>
      <c r="B71" s="12" t="s">
        <v>45</v>
      </c>
      <c r="C71" s="12" t="s">
        <v>46</v>
      </c>
      <c r="D71" s="12" t="s">
        <v>47</v>
      </c>
      <c r="E71" s="12" t="s">
        <v>48</v>
      </c>
      <c r="F71" s="12" t="s">
        <v>49</v>
      </c>
      <c r="K71" s="12"/>
      <c r="L71" s="12" t="s">
        <v>45</v>
      </c>
      <c r="M71" s="12" t="s">
        <v>46</v>
      </c>
      <c r="N71" s="12" t="s">
        <v>47</v>
      </c>
      <c r="O71" s="12" t="s">
        <v>48</v>
      </c>
      <c r="P71" s="12" t="s">
        <v>49</v>
      </c>
    </row>
    <row r="72" spans="1:19" x14ac:dyDescent="0.3">
      <c r="A72" s="10" t="s">
        <v>41</v>
      </c>
      <c r="B72" s="10">
        <v>1</v>
      </c>
      <c r="C72" s="10">
        <v>3380.2700427801519</v>
      </c>
      <c r="D72" s="10">
        <v>3380.2700427801519</v>
      </c>
      <c r="E72" s="10">
        <v>4.6653057598188807</v>
      </c>
      <c r="F72" s="10">
        <v>5.1717590697136134E-2</v>
      </c>
      <c r="K72" s="10" t="s">
        <v>41</v>
      </c>
      <c r="L72" s="10">
        <v>1</v>
      </c>
      <c r="M72" s="10">
        <v>2519.3308656070121</v>
      </c>
      <c r="N72" s="10">
        <v>2519.3308656070121</v>
      </c>
      <c r="O72" s="10">
        <v>4.6653057598188816</v>
      </c>
      <c r="P72" s="10">
        <v>5.1717590697136079E-2</v>
      </c>
    </row>
    <row r="73" spans="1:19" x14ac:dyDescent="0.3">
      <c r="A73" s="10" t="s">
        <v>42</v>
      </c>
      <c r="B73" s="10">
        <v>12</v>
      </c>
      <c r="C73" s="10">
        <v>8694.6585286484187</v>
      </c>
      <c r="D73" s="10">
        <v>724.55487738736826</v>
      </c>
      <c r="E73" s="10"/>
      <c r="F73" s="10"/>
      <c r="K73" s="10" t="s">
        <v>42</v>
      </c>
      <c r="L73" s="10">
        <v>12</v>
      </c>
      <c r="M73" s="10">
        <v>6480.1691343929879</v>
      </c>
      <c r="N73" s="10">
        <v>540.01409453274903</v>
      </c>
      <c r="O73" s="10"/>
      <c r="P73" s="10"/>
    </row>
    <row r="74" spans="1:19" ht="15" thickBot="1" x14ac:dyDescent="0.35">
      <c r="A74" s="11" t="s">
        <v>43</v>
      </c>
      <c r="B74" s="11">
        <v>13</v>
      </c>
      <c r="C74" s="11">
        <v>12074.928571428571</v>
      </c>
      <c r="D74" s="11"/>
      <c r="E74" s="11"/>
      <c r="F74" s="11"/>
      <c r="K74" s="11" t="s">
        <v>43</v>
      </c>
      <c r="L74" s="11">
        <v>13</v>
      </c>
      <c r="M74" s="11">
        <v>8999.5</v>
      </c>
      <c r="N74" s="11"/>
      <c r="O74" s="11"/>
      <c r="P74" s="11"/>
    </row>
    <row r="75" spans="1:19" ht="15" thickBot="1" x14ac:dyDescent="0.35"/>
    <row r="76" spans="1:19" x14ac:dyDescent="0.3">
      <c r="A76" s="12"/>
      <c r="B76" s="12" t="s">
        <v>50</v>
      </c>
      <c r="C76" s="12" t="s">
        <v>18</v>
      </c>
      <c r="D76" s="12" t="s">
        <v>51</v>
      </c>
      <c r="E76" s="12" t="s">
        <v>52</v>
      </c>
      <c r="F76" s="12" t="s">
        <v>53</v>
      </c>
      <c r="G76" s="12" t="s">
        <v>54</v>
      </c>
      <c r="H76" s="12" t="s">
        <v>55</v>
      </c>
      <c r="I76" s="12" t="s">
        <v>56</v>
      </c>
      <c r="K76" s="12"/>
      <c r="L76" s="12" t="s">
        <v>50</v>
      </c>
      <c r="M76" s="12" t="s">
        <v>18</v>
      </c>
      <c r="N76" s="12" t="s">
        <v>51</v>
      </c>
      <c r="O76" s="12" t="s">
        <v>52</v>
      </c>
      <c r="P76" s="12" t="s">
        <v>53</v>
      </c>
      <c r="Q76" s="12" t="s">
        <v>54</v>
      </c>
      <c r="R76" s="12" t="s">
        <v>55</v>
      </c>
      <c r="S76" s="12" t="s">
        <v>56</v>
      </c>
    </row>
    <row r="77" spans="1:19" x14ac:dyDescent="0.3">
      <c r="A77" s="10" t="s">
        <v>44</v>
      </c>
      <c r="B77" s="10">
        <v>11.734493186129388</v>
      </c>
      <c r="C77" s="10">
        <v>15.78052422080699</v>
      </c>
      <c r="D77" s="10">
        <v>0.74360604387636153</v>
      </c>
      <c r="E77" s="10">
        <v>0.47142415699910367</v>
      </c>
      <c r="F77" s="10">
        <v>-22.648315445039326</v>
      </c>
      <c r="G77" s="10">
        <v>46.117301817298099</v>
      </c>
      <c r="H77" s="10">
        <v>-22.648315445039326</v>
      </c>
      <c r="I77" s="10">
        <v>46.117301817298099</v>
      </c>
      <c r="K77" s="10" t="s">
        <v>44</v>
      </c>
      <c r="L77" s="10">
        <v>30.282912055084619</v>
      </c>
      <c r="M77" s="10">
        <v>10.850367610443497</v>
      </c>
      <c r="N77" s="10">
        <v>2.790957241479751</v>
      </c>
      <c r="O77" s="10">
        <v>1.6315559354558369E-2</v>
      </c>
      <c r="P77" s="10">
        <v>6.6419918988445801</v>
      </c>
      <c r="Q77" s="10">
        <v>53.923832211324658</v>
      </c>
      <c r="R77" s="10">
        <v>6.6419918988445801</v>
      </c>
      <c r="S77" s="10">
        <v>53.923832211324658</v>
      </c>
    </row>
    <row r="78" spans="1:19" ht="15" thickBot="1" x14ac:dyDescent="0.35">
      <c r="A78" s="11" t="s">
        <v>16</v>
      </c>
      <c r="B78" s="11">
        <v>0.61286738152119558</v>
      </c>
      <c r="C78" s="11">
        <v>0.2837438462715029</v>
      </c>
      <c r="D78" s="11">
        <v>2.159931887773058</v>
      </c>
      <c r="E78" s="11">
        <v>5.1717590697136044E-2</v>
      </c>
      <c r="F78" s="11">
        <v>-5.3573510742807029E-3</v>
      </c>
      <c r="G78" s="11">
        <v>1.231092114116672</v>
      </c>
      <c r="H78" s="11">
        <v>-5.3573510742807029E-3</v>
      </c>
      <c r="I78" s="11">
        <v>1.231092114116672</v>
      </c>
      <c r="K78" s="11" t="s">
        <v>57</v>
      </c>
      <c r="L78" s="11">
        <v>0.45677288833415169</v>
      </c>
      <c r="M78" s="11">
        <v>0.2114755983370826</v>
      </c>
      <c r="N78" s="11">
        <v>2.1599318877730576</v>
      </c>
      <c r="O78" s="11">
        <v>5.1717590697136023E-2</v>
      </c>
      <c r="P78" s="11">
        <v>-3.9928584842374715E-3</v>
      </c>
      <c r="Q78" s="11">
        <v>0.91753863515254086</v>
      </c>
      <c r="R78" s="11">
        <v>-3.9928584842374715E-3</v>
      </c>
      <c r="S78" s="11">
        <v>0.91753863515254086</v>
      </c>
    </row>
    <row r="79" spans="1:19" x14ac:dyDescent="0.3">
      <c r="A79" s="10"/>
      <c r="B79" s="10"/>
      <c r="C79" s="10"/>
      <c r="D79" s="10"/>
      <c r="F79" s="10"/>
      <c r="G79" s="10"/>
      <c r="H79" s="10"/>
      <c r="I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x14ac:dyDescent="0.3">
      <c r="A80" s="35" t="s">
        <v>96</v>
      </c>
      <c r="B80" s="35"/>
      <c r="C80" s="35"/>
      <c r="D80" s="35"/>
      <c r="E80" s="35"/>
      <c r="F80" s="35"/>
      <c r="G80" s="35"/>
      <c r="H80" s="35"/>
      <c r="I80" s="35"/>
      <c r="K80" s="35" t="s">
        <v>97</v>
      </c>
      <c r="L80" s="35"/>
      <c r="M80" s="35"/>
      <c r="N80" s="35"/>
      <c r="O80" s="35"/>
      <c r="P80" s="35"/>
      <c r="Q80" s="35"/>
      <c r="R80" s="35"/>
      <c r="S80" s="35"/>
    </row>
    <row r="82" spans="1:19" x14ac:dyDescent="0.3">
      <c r="A82" s="28" t="s">
        <v>84</v>
      </c>
      <c r="B82" s="29"/>
      <c r="C82" s="29"/>
      <c r="D82" s="29"/>
      <c r="E82" s="29"/>
      <c r="F82" s="29"/>
      <c r="G82" s="29"/>
      <c r="H82" s="29"/>
      <c r="I82" s="30"/>
      <c r="K82" s="22" t="s">
        <v>91</v>
      </c>
      <c r="L82" s="25"/>
      <c r="M82" s="25"/>
      <c r="N82" s="25"/>
      <c r="O82" s="25"/>
      <c r="P82" s="25"/>
      <c r="Q82" s="25"/>
      <c r="R82" s="25"/>
      <c r="S82" s="25"/>
    </row>
    <row r="83" spans="1:19" x14ac:dyDescent="0.3">
      <c r="A83" t="s">
        <v>34</v>
      </c>
      <c r="K83" t="s">
        <v>34</v>
      </c>
    </row>
    <row r="84" spans="1:19" x14ac:dyDescent="0.3">
      <c r="A84" s="33" t="s">
        <v>92</v>
      </c>
      <c r="B84" s="33" t="s">
        <v>15</v>
      </c>
      <c r="C84" s="33" t="s">
        <v>93</v>
      </c>
      <c r="D84" s="33" t="s">
        <v>57</v>
      </c>
      <c r="K84" s="33" t="s">
        <v>92</v>
      </c>
      <c r="L84" s="33" t="s">
        <v>57</v>
      </c>
      <c r="M84" s="33" t="s">
        <v>93</v>
      </c>
      <c r="N84" s="33" t="s">
        <v>15</v>
      </c>
    </row>
    <row r="85" spans="1:19" ht="15" thickBot="1" x14ac:dyDescent="0.35">
      <c r="A85" s="33"/>
      <c r="B85" s="33"/>
      <c r="C85" s="33"/>
      <c r="D85" s="33"/>
      <c r="K85" s="33"/>
      <c r="L85" s="33"/>
      <c r="M85" s="33"/>
      <c r="N85" s="33"/>
    </row>
    <row r="86" spans="1:19" x14ac:dyDescent="0.3">
      <c r="A86" s="13" t="s">
        <v>35</v>
      </c>
      <c r="B86" s="13"/>
      <c r="K86" s="13" t="s">
        <v>35</v>
      </c>
      <c r="L86" s="13"/>
    </row>
    <row r="87" spans="1:19" x14ac:dyDescent="0.3">
      <c r="A87" s="10" t="s">
        <v>36</v>
      </c>
      <c r="B87" s="10">
        <v>0.46392720625058936</v>
      </c>
      <c r="K87" s="10" t="s">
        <v>36</v>
      </c>
      <c r="L87" s="10">
        <v>0.46392720625058909</v>
      </c>
    </row>
    <row r="88" spans="1:19" x14ac:dyDescent="0.3">
      <c r="A88" s="10" t="s">
        <v>37</v>
      </c>
      <c r="B88" s="10">
        <v>0.21522845269947688</v>
      </c>
      <c r="K88" s="10" t="s">
        <v>37</v>
      </c>
      <c r="L88" s="10">
        <v>0.21522845269947663</v>
      </c>
    </row>
    <row r="89" spans="1:19" x14ac:dyDescent="0.3">
      <c r="A89" s="10" t="s">
        <v>38</v>
      </c>
      <c r="B89" s="10">
        <v>0.1498308237577666</v>
      </c>
      <c r="K89" s="10" t="s">
        <v>38</v>
      </c>
      <c r="L89" s="10">
        <v>0.14983082375776635</v>
      </c>
    </row>
    <row r="90" spans="1:19" x14ac:dyDescent="0.3">
      <c r="A90" s="10" t="s">
        <v>18</v>
      </c>
      <c r="B90" s="10">
        <v>26.160686451539988</v>
      </c>
      <c r="K90" s="10" t="s">
        <v>18</v>
      </c>
      <c r="L90" s="10">
        <v>28.10109781150803</v>
      </c>
    </row>
    <row r="91" spans="1:19" ht="15" thickBot="1" x14ac:dyDescent="0.35">
      <c r="A91" s="11" t="s">
        <v>39</v>
      </c>
      <c r="B91" s="11">
        <v>14</v>
      </c>
      <c r="K91" s="11" t="s">
        <v>39</v>
      </c>
      <c r="L91" s="11">
        <v>14</v>
      </c>
    </row>
    <row r="93" spans="1:19" ht="15" thickBot="1" x14ac:dyDescent="0.35">
      <c r="A93" t="s">
        <v>40</v>
      </c>
      <c r="K93" t="s">
        <v>40</v>
      </c>
    </row>
    <row r="94" spans="1:19" x14ac:dyDescent="0.3">
      <c r="A94" s="12"/>
      <c r="B94" s="12" t="s">
        <v>45</v>
      </c>
      <c r="C94" s="12" t="s">
        <v>46</v>
      </c>
      <c r="D94" s="12" t="s">
        <v>47</v>
      </c>
      <c r="E94" s="12" t="s">
        <v>48</v>
      </c>
      <c r="F94" s="12" t="s">
        <v>49</v>
      </c>
      <c r="K94" s="12"/>
      <c r="L94" s="12" t="s">
        <v>45</v>
      </c>
      <c r="M94" s="12" t="s">
        <v>46</v>
      </c>
      <c r="N94" s="12" t="s">
        <v>47</v>
      </c>
      <c r="O94" s="12" t="s">
        <v>48</v>
      </c>
      <c r="P94" s="12" t="s">
        <v>49</v>
      </c>
    </row>
    <row r="95" spans="1:19" x14ac:dyDescent="0.3">
      <c r="A95" s="10" t="s">
        <v>41</v>
      </c>
      <c r="B95" s="10">
        <v>1</v>
      </c>
      <c r="C95" s="10">
        <v>2252.3503840391186</v>
      </c>
      <c r="D95" s="10">
        <v>2252.3503840391186</v>
      </c>
      <c r="E95" s="10">
        <v>3.2910742511982005</v>
      </c>
      <c r="F95" s="10">
        <v>9.4722389470443993E-2</v>
      </c>
      <c r="K95" s="10" t="s">
        <v>41</v>
      </c>
      <c r="L95" s="10">
        <v>1</v>
      </c>
      <c r="M95" s="10">
        <v>2598.8681928852729</v>
      </c>
      <c r="N95" s="10">
        <v>2598.8681928852729</v>
      </c>
      <c r="O95" s="10">
        <v>3.2910742511981956</v>
      </c>
      <c r="P95" s="10">
        <v>9.4722389470444313E-2</v>
      </c>
    </row>
    <row r="96" spans="1:19" x14ac:dyDescent="0.3">
      <c r="A96" s="10" t="s">
        <v>42</v>
      </c>
      <c r="B96" s="10">
        <v>12</v>
      </c>
      <c r="C96" s="10">
        <v>8212.5781873894539</v>
      </c>
      <c r="D96" s="10">
        <v>684.38151561578786</v>
      </c>
      <c r="E96" s="10"/>
      <c r="F96" s="10"/>
      <c r="K96" s="10" t="s">
        <v>42</v>
      </c>
      <c r="L96" s="10">
        <v>12</v>
      </c>
      <c r="M96" s="10">
        <v>9476.0603785432977</v>
      </c>
      <c r="N96" s="10">
        <v>789.67169821194148</v>
      </c>
      <c r="O96" s="10"/>
      <c r="P96" s="10"/>
    </row>
    <row r="97" spans="1:19" ht="15" thickBot="1" x14ac:dyDescent="0.35">
      <c r="A97" s="11" t="s">
        <v>43</v>
      </c>
      <c r="B97" s="11">
        <v>13</v>
      </c>
      <c r="C97" s="11">
        <v>10464.928571428572</v>
      </c>
      <c r="D97" s="11"/>
      <c r="E97" s="11"/>
      <c r="F97" s="11"/>
      <c r="K97" s="11" t="s">
        <v>43</v>
      </c>
      <c r="L97" s="11">
        <v>13</v>
      </c>
      <c r="M97" s="11">
        <v>12074.928571428571</v>
      </c>
      <c r="N97" s="11"/>
      <c r="O97" s="11"/>
      <c r="P97" s="11"/>
    </row>
    <row r="98" spans="1:19" ht="15" thickBot="1" x14ac:dyDescent="0.35"/>
    <row r="99" spans="1:19" x14ac:dyDescent="0.3">
      <c r="A99" s="12"/>
      <c r="B99" s="12" t="s">
        <v>50</v>
      </c>
      <c r="C99" s="12" t="s">
        <v>18</v>
      </c>
      <c r="D99" s="12" t="s">
        <v>51</v>
      </c>
      <c r="E99" s="12" t="s">
        <v>52</v>
      </c>
      <c r="F99" s="12" t="s">
        <v>53</v>
      </c>
      <c r="G99" s="12" t="s">
        <v>54</v>
      </c>
      <c r="H99" s="12" t="s">
        <v>55</v>
      </c>
      <c r="I99" s="12" t="s">
        <v>56</v>
      </c>
      <c r="K99" s="12"/>
      <c r="L99" s="12" t="s">
        <v>50</v>
      </c>
      <c r="M99" s="12" t="s">
        <v>18</v>
      </c>
      <c r="N99" s="12" t="s">
        <v>51</v>
      </c>
      <c r="O99" s="12" t="s">
        <v>52</v>
      </c>
      <c r="P99" s="12" t="s">
        <v>53</v>
      </c>
      <c r="Q99" s="12" t="s">
        <v>54</v>
      </c>
      <c r="R99" s="12" t="s">
        <v>55</v>
      </c>
      <c r="S99" s="12" t="s">
        <v>56</v>
      </c>
    </row>
    <row r="100" spans="1:19" x14ac:dyDescent="0.3">
      <c r="A100" s="10" t="s">
        <v>44</v>
      </c>
      <c r="B100" s="10">
        <v>73.241764222207763</v>
      </c>
      <c r="C100" s="10">
        <v>12.214931626662398</v>
      </c>
      <c r="D100" s="10">
        <v>5.9960846659458795</v>
      </c>
      <c r="E100" s="10">
        <v>6.2542071648593944E-5</v>
      </c>
      <c r="F100" s="10">
        <v>46.627714480527743</v>
      </c>
      <c r="G100" s="10">
        <v>99.855813963887783</v>
      </c>
      <c r="H100" s="10">
        <v>46.627714480527743</v>
      </c>
      <c r="I100" s="10">
        <v>99.855813963887783</v>
      </c>
      <c r="K100" s="10" t="s">
        <v>44</v>
      </c>
      <c r="L100" s="10">
        <v>69.515613375287529</v>
      </c>
      <c r="M100" s="10">
        <v>16.889685701709176</v>
      </c>
      <c r="N100" s="10">
        <v>4.1158618699608365</v>
      </c>
      <c r="O100" s="10">
        <v>1.4311966000020236E-3</v>
      </c>
      <c r="P100" s="10">
        <v>32.716149479356432</v>
      </c>
      <c r="Q100" s="10">
        <v>106.31507727121863</v>
      </c>
      <c r="R100" s="10">
        <v>32.716149479356432</v>
      </c>
      <c r="S100" s="10">
        <v>106.31507727121863</v>
      </c>
    </row>
    <row r="101" spans="1:19" ht="15" thickBot="1" x14ac:dyDescent="0.35">
      <c r="A101" s="11" t="s">
        <v>57</v>
      </c>
      <c r="B101" s="11">
        <v>-0.43189252820188223</v>
      </c>
      <c r="C101" s="11">
        <v>0.23807119418780692</v>
      </c>
      <c r="D101" s="11">
        <v>-1.8141318174813528</v>
      </c>
      <c r="E101" s="11">
        <v>9.4722389470444326E-2</v>
      </c>
      <c r="F101" s="11">
        <v>-0.95060510047247404</v>
      </c>
      <c r="G101" s="11">
        <v>8.6820044068709634E-2</v>
      </c>
      <c r="H101" s="11">
        <v>-0.95060510047247404</v>
      </c>
      <c r="I101" s="11">
        <v>8.6820044068709634E-2</v>
      </c>
      <c r="K101" s="11" t="s">
        <v>15</v>
      </c>
      <c r="L101" s="11">
        <v>-0.49833798606228968</v>
      </c>
      <c r="M101" s="11">
        <v>0.27469778174893406</v>
      </c>
      <c r="N101" s="11">
        <v>-1.8141318174813525</v>
      </c>
      <c r="O101" s="11">
        <v>9.4722389470444313E-2</v>
      </c>
      <c r="P101" s="11">
        <v>-1.0968530372179954</v>
      </c>
      <c r="Q101" s="11">
        <v>0.10017706509341612</v>
      </c>
      <c r="R101" s="11">
        <v>-1.0968530372179954</v>
      </c>
      <c r="S101" s="11">
        <v>0.10017706509341612</v>
      </c>
    </row>
    <row r="103" spans="1:19" x14ac:dyDescent="0.3">
      <c r="A103" s="35" t="s">
        <v>95</v>
      </c>
      <c r="B103" s="35"/>
      <c r="C103" s="35"/>
      <c r="D103" s="35"/>
      <c r="E103" s="35"/>
      <c r="F103" s="35"/>
      <c r="G103" s="35"/>
      <c r="H103" s="35"/>
      <c r="I103" s="35"/>
      <c r="K103" s="35" t="s">
        <v>95</v>
      </c>
      <c r="L103" s="35"/>
      <c r="M103" s="35"/>
      <c r="N103" s="35"/>
      <c r="O103" s="35"/>
      <c r="P103" s="35"/>
      <c r="Q103" s="35"/>
      <c r="R103" s="35"/>
      <c r="S103" s="35"/>
    </row>
  </sheetData>
  <mergeCells count="19">
    <mergeCell ref="K36:S36"/>
    <mergeCell ref="K59:S59"/>
    <mergeCell ref="K82:S82"/>
    <mergeCell ref="A57:I57"/>
    <mergeCell ref="A80:I80"/>
    <mergeCell ref="A103:I103"/>
    <mergeCell ref="K103:S103"/>
    <mergeCell ref="K80:S80"/>
    <mergeCell ref="K57:S57"/>
    <mergeCell ref="E1:F1"/>
    <mergeCell ref="B1:D1"/>
    <mergeCell ref="A26:D26"/>
    <mergeCell ref="A36:I36"/>
    <mergeCell ref="A59:I59"/>
    <mergeCell ref="A82:I82"/>
    <mergeCell ref="A33:E33"/>
    <mergeCell ref="A34:E34"/>
    <mergeCell ref="A32:E32"/>
    <mergeCell ref="A31:E31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8BB51B71-060C-4DDD-A81C-0554F6DD3F57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'Type &amp; Strength of Relationship'!B3:D3</xm:f>
              <xm:sqref>E3</xm:sqref>
            </x14:sparkline>
            <x14:sparkline>
              <xm:f>'Type &amp; Strength of Relationship'!B4:D4</xm:f>
              <xm:sqref>E4</xm:sqref>
            </x14:sparkline>
            <x14:sparkline>
              <xm:f>'Type &amp; Strength of Relationship'!B5:D5</xm:f>
              <xm:sqref>E5</xm:sqref>
            </x14:sparkline>
            <x14:sparkline>
              <xm:f>'Type &amp; Strength of Relationship'!B6:D6</xm:f>
              <xm:sqref>E6</xm:sqref>
            </x14:sparkline>
            <x14:sparkline>
              <xm:f>'Type &amp; Strength of Relationship'!B7:D7</xm:f>
              <xm:sqref>E7</xm:sqref>
            </x14:sparkline>
            <x14:sparkline>
              <xm:f>'Type &amp; Strength of Relationship'!B8:D8</xm:f>
              <xm:sqref>E8</xm:sqref>
            </x14:sparkline>
            <x14:sparkline>
              <xm:f>'Type &amp; Strength of Relationship'!B9:D9</xm:f>
              <xm:sqref>E9</xm:sqref>
            </x14:sparkline>
            <x14:sparkline>
              <xm:f>'Type &amp; Strength of Relationship'!B10:D10</xm:f>
              <xm:sqref>E10</xm:sqref>
            </x14:sparkline>
            <x14:sparkline>
              <xm:f>'Type &amp; Strength of Relationship'!B11:D11</xm:f>
              <xm:sqref>E11</xm:sqref>
            </x14:sparkline>
            <x14:sparkline>
              <xm:f>'Type &amp; Strength of Relationship'!B12:D12</xm:f>
              <xm:sqref>E12</xm:sqref>
            </x14:sparkline>
            <x14:sparkline>
              <xm:f>'Type &amp; Strength of Relationship'!B13:D13</xm:f>
              <xm:sqref>E13</xm:sqref>
            </x14:sparkline>
            <x14:sparkline>
              <xm:f>'Type &amp; Strength of Relationship'!B14:D14</xm:f>
              <xm:sqref>E14</xm:sqref>
            </x14:sparkline>
            <x14:sparkline>
              <xm:f>'Type &amp; Strength of Relationship'!B15:D15</xm:f>
              <xm:sqref>E15</xm:sqref>
            </x14:sparkline>
            <x14:sparkline>
              <xm:f>'Type &amp; Strength of Relationship'!B16:D16</xm:f>
              <xm:sqref>E16</xm:sqref>
            </x14:sparkline>
          </x14:sparklines>
        </x14:sparklineGroup>
        <x14:sparklineGroup type="column" displayEmptyCellsAs="gap" xr2:uid="{1DA3913D-8951-4E7B-8D32-115B757E892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'Type &amp; Strength of Relationship'!B3:D3</xm:f>
              <xm:sqref>F3</xm:sqref>
            </x14:sparkline>
            <x14:sparkline>
              <xm:f>'Type &amp; Strength of Relationship'!B4:D4</xm:f>
              <xm:sqref>F4</xm:sqref>
            </x14:sparkline>
            <x14:sparkline>
              <xm:f>'Type &amp; Strength of Relationship'!B5:D5</xm:f>
              <xm:sqref>F5</xm:sqref>
            </x14:sparkline>
            <x14:sparkline>
              <xm:f>'Type &amp; Strength of Relationship'!B6:D6</xm:f>
              <xm:sqref>F6</xm:sqref>
            </x14:sparkline>
            <x14:sparkline>
              <xm:f>'Type &amp; Strength of Relationship'!B7:D7</xm:f>
              <xm:sqref>F7</xm:sqref>
            </x14:sparkline>
            <x14:sparkline>
              <xm:f>'Type &amp; Strength of Relationship'!B8:D8</xm:f>
              <xm:sqref>F8</xm:sqref>
            </x14:sparkline>
            <x14:sparkline>
              <xm:f>'Type &amp; Strength of Relationship'!B9:D9</xm:f>
              <xm:sqref>F9</xm:sqref>
            </x14:sparkline>
            <x14:sparkline>
              <xm:f>'Type &amp; Strength of Relationship'!B10:D10</xm:f>
              <xm:sqref>F10</xm:sqref>
            </x14:sparkline>
            <x14:sparkline>
              <xm:f>'Type &amp; Strength of Relationship'!B11:D11</xm:f>
              <xm:sqref>F11</xm:sqref>
            </x14:sparkline>
            <x14:sparkline>
              <xm:f>'Type &amp; Strength of Relationship'!B12:D12</xm:f>
              <xm:sqref>F12</xm:sqref>
            </x14:sparkline>
            <x14:sparkline>
              <xm:f>'Type &amp; Strength of Relationship'!B13:D13</xm:f>
              <xm:sqref>F13</xm:sqref>
            </x14:sparkline>
            <x14:sparkline>
              <xm:f>'Type &amp; Strength of Relationship'!B14:D14</xm:f>
              <xm:sqref>F14</xm:sqref>
            </x14:sparkline>
            <x14:sparkline>
              <xm:f>'Type &amp; Strength of Relationship'!B15:D15</xm:f>
              <xm:sqref>F15</xm:sqref>
            </x14:sparkline>
            <x14:sparkline>
              <xm:f>'Type &amp; Strength of Relationship'!B16:D16</xm:f>
              <xm:sqref>F16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264D-0F0C-4F03-B8A9-41DE947EBDB7}">
  <dimension ref="A1:C13"/>
  <sheetViews>
    <sheetView tabSelected="1" workbookViewId="0">
      <selection activeCell="D10" sqref="D10"/>
    </sheetView>
  </sheetViews>
  <sheetFormatPr defaultRowHeight="14.4" x14ac:dyDescent="0.3"/>
  <sheetData>
    <row r="1" spans="1:3" x14ac:dyDescent="0.3">
      <c r="A1" s="4" t="s">
        <v>101</v>
      </c>
      <c r="B1" s="4" t="s">
        <v>100</v>
      </c>
      <c r="C1" s="4" t="s">
        <v>99</v>
      </c>
    </row>
    <row r="2" spans="1:3" x14ac:dyDescent="0.3">
      <c r="A2">
        <v>1</v>
      </c>
      <c r="B2">
        <v>1</v>
      </c>
      <c r="C2">
        <v>4</v>
      </c>
    </row>
    <row r="3" spans="1:3" x14ac:dyDescent="0.3">
      <c r="B3">
        <v>2</v>
      </c>
      <c r="C3">
        <v>3</v>
      </c>
    </row>
    <row r="4" spans="1:3" x14ac:dyDescent="0.3">
      <c r="B4">
        <v>3</v>
      </c>
      <c r="C4">
        <v>5</v>
      </c>
    </row>
    <row r="5" spans="1:3" x14ac:dyDescent="0.3">
      <c r="B5">
        <v>4</v>
      </c>
      <c r="C5">
        <v>4</v>
      </c>
    </row>
    <row r="6" spans="1:3" x14ac:dyDescent="0.3">
      <c r="A6">
        <v>2</v>
      </c>
      <c r="B6">
        <v>1</v>
      </c>
      <c r="C6">
        <v>6</v>
      </c>
    </row>
    <row r="7" spans="1:3" x14ac:dyDescent="0.3">
      <c r="B7">
        <v>2</v>
      </c>
      <c r="C7">
        <v>7</v>
      </c>
    </row>
    <row r="8" spans="1:3" x14ac:dyDescent="0.3">
      <c r="B8">
        <v>3</v>
      </c>
      <c r="C8">
        <v>8</v>
      </c>
    </row>
    <row r="9" spans="1:3" x14ac:dyDescent="0.3">
      <c r="B9">
        <v>4</v>
      </c>
      <c r="C9">
        <v>2</v>
      </c>
    </row>
    <row r="10" spans="1:3" x14ac:dyDescent="0.3">
      <c r="A10">
        <v>3</v>
      </c>
      <c r="B10">
        <v>1</v>
      </c>
      <c r="C10">
        <v>1</v>
      </c>
    </row>
    <row r="11" spans="1:3" x14ac:dyDescent="0.3">
      <c r="B11">
        <v>2</v>
      </c>
      <c r="C11">
        <v>6</v>
      </c>
    </row>
    <row r="12" spans="1:3" x14ac:dyDescent="0.3">
      <c r="B12">
        <v>3</v>
      </c>
      <c r="C12">
        <v>4</v>
      </c>
    </row>
    <row r="13" spans="1:3" x14ac:dyDescent="0.3">
      <c r="B13">
        <v>4</v>
      </c>
      <c r="C1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 Statistical Cal</vt:lpstr>
      <vt:lpstr>Sales moving Average</vt:lpstr>
      <vt:lpstr>Type &amp; Strength of Relationship</vt:lpstr>
      <vt:lpstr>Time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Srajankumar Angadi</dc:creator>
  <cp:lastModifiedBy>Srajankumar Angadi</cp:lastModifiedBy>
  <dcterms:created xsi:type="dcterms:W3CDTF">2024-06-26T15:02:41Z</dcterms:created>
  <dcterms:modified xsi:type="dcterms:W3CDTF">2026-05-20T18:35:09Z</dcterms:modified>
</cp:coreProperties>
</file>