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 of BA\"/>
    </mc:Choice>
  </mc:AlternateContent>
  <xr:revisionPtr revIDLastSave="0" documentId="13_ncr:1_{8403E81B-7320-47BE-95D2-8BBB11027973}" xr6:coauthVersionLast="47" xr6:coauthVersionMax="47" xr10:uidLastSave="{00000000-0000-0000-0000-000000000000}"/>
  <bookViews>
    <workbookView xWindow="-108" yWindow="-108" windowWidth="23256" windowHeight="12456" xr2:uid="{4F45BF13-506C-4F75-A9CB-DA15514A962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1" l="1"/>
  <c r="C16" i="1"/>
  <c r="C9" i="2"/>
  <c r="C8" i="2"/>
  <c r="B8" i="2"/>
  <c r="P3" i="1"/>
  <c r="O3" i="1"/>
  <c r="M3" i="1"/>
  <c r="L3" i="1"/>
  <c r="J3" i="1"/>
  <c r="I3" i="1"/>
  <c r="F3" i="1"/>
  <c r="G3" i="1"/>
  <c r="C3" i="1"/>
  <c r="D3" i="1"/>
</calcChain>
</file>

<file path=xl/sharedStrings.xml><?xml version="1.0" encoding="utf-8"?>
<sst xmlns="http://schemas.openxmlformats.org/spreadsheetml/2006/main" count="25" uniqueCount="17">
  <si>
    <t>DATASET 1</t>
  </si>
  <si>
    <t>Initial Investment</t>
  </si>
  <si>
    <t>DATASET 2</t>
  </si>
  <si>
    <t>DATASET 3</t>
  </si>
  <si>
    <t>DATABSE 4</t>
  </si>
  <si>
    <t>DATASET 5</t>
  </si>
  <si>
    <t>Discounting Factor</t>
  </si>
  <si>
    <t>NPV</t>
  </si>
  <si>
    <t>IRR</t>
  </si>
  <si>
    <t>Revenue</t>
  </si>
  <si>
    <t>Investment</t>
  </si>
  <si>
    <t>Net Profit</t>
  </si>
  <si>
    <t>ROI</t>
  </si>
  <si>
    <t>`=(net profit/investment)*100</t>
  </si>
  <si>
    <t>`=investment-revenue</t>
  </si>
  <si>
    <t>`=NPV(Discounting Rate, Initial Investment &amp; all Years)</t>
  </si>
  <si>
    <t>`=IRR(Initial Invesment and All Years Income)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</si>
</sst>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4" formatCode="&quot;₹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8" fontId="0" fillId="0" borderId="0" xfId="0" applyNumberFormat="1"/>
    <xf numFmtId="0" fontId="0" fillId="0" borderId="2" xfId="0" applyBorder="1"/>
    <xf numFmtId="9" fontId="0" fillId="0" borderId="0" xfId="0" applyNumberFormat="1"/>
    <xf numFmtId="0" fontId="2" fillId="0" borderId="3" xfId="0" applyFont="1" applyBorder="1" applyAlignment="1">
      <alignment vertical="center"/>
    </xf>
    <xf numFmtId="0" fontId="0" fillId="0" borderId="9" xfId="0" applyBorder="1"/>
    <xf numFmtId="0" fontId="2" fillId="0" borderId="8" xfId="0" applyFont="1" applyBorder="1" applyAlignment="1">
      <alignment vertical="center"/>
    </xf>
    <xf numFmtId="0" fontId="4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64" fontId="1" fillId="0" borderId="1" xfId="0" applyNumberFormat="1" applyFont="1" applyBorder="1"/>
    <xf numFmtId="164" fontId="0" fillId="0" borderId="1" xfId="0" applyNumberFormat="1" applyBorder="1"/>
    <xf numFmtId="0" fontId="0" fillId="0" borderId="14" xfId="0" applyBorder="1"/>
    <xf numFmtId="164" fontId="0" fillId="0" borderId="15" xfId="0" applyNumberFormat="1" applyBorder="1"/>
    <xf numFmtId="0" fontId="1" fillId="0" borderId="1" xfId="0" applyFont="1" applyBorder="1"/>
    <xf numFmtId="0" fontId="3" fillId="0" borderId="16" xfId="0" applyFont="1" applyBorder="1" applyAlignment="1">
      <alignment vertical="center"/>
    </xf>
    <xf numFmtId="0" fontId="0" fillId="0" borderId="17" xfId="0" applyBorder="1"/>
    <xf numFmtId="9" fontId="0" fillId="0" borderId="9" xfId="0" applyNumberForma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64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C6610-8ABB-4C96-9BDC-D39D38B9FDEA}">
  <dimension ref="A1:P22"/>
  <sheetViews>
    <sheetView tabSelected="1" workbookViewId="0">
      <selection activeCell="E23" sqref="E23"/>
    </sheetView>
  </sheetViews>
  <sheetFormatPr defaultRowHeight="14.4" x14ac:dyDescent="0.3"/>
  <cols>
    <col min="1" max="1" width="26.109375" bestFit="1" customWidth="1"/>
    <col min="2" max="2" width="12.77734375" bestFit="1" customWidth="1"/>
    <col min="3" max="3" width="11.88671875" bestFit="1" customWidth="1"/>
    <col min="5" max="5" width="13.88671875" bestFit="1" customWidth="1"/>
    <col min="6" max="6" width="12.88671875" bestFit="1" customWidth="1"/>
    <col min="8" max="8" width="12.77734375" bestFit="1" customWidth="1"/>
    <col min="9" max="9" width="10.44140625" bestFit="1" customWidth="1"/>
    <col min="11" max="11" width="13.88671875" bestFit="1" customWidth="1"/>
    <col min="12" max="12" width="12.5546875" bestFit="1" customWidth="1"/>
    <col min="14" max="14" width="13.88671875" bestFit="1" customWidth="1"/>
    <col min="15" max="15" width="12.88671875" bestFit="1" customWidth="1"/>
  </cols>
  <sheetData>
    <row r="1" spans="1:16" ht="15.6" x14ac:dyDescent="0.3">
      <c r="A1" s="4"/>
      <c r="B1" s="19" t="s">
        <v>0</v>
      </c>
      <c r="C1" s="20"/>
      <c r="D1" s="21"/>
      <c r="E1" s="19" t="s">
        <v>2</v>
      </c>
      <c r="F1" s="20"/>
      <c r="G1" s="21"/>
      <c r="H1" s="19" t="s">
        <v>3</v>
      </c>
      <c r="I1" s="20"/>
      <c r="J1" s="21"/>
      <c r="K1" s="19" t="s">
        <v>4</v>
      </c>
      <c r="L1" s="20"/>
      <c r="M1" s="21"/>
      <c r="N1" s="19" t="s">
        <v>5</v>
      </c>
      <c r="O1" s="20"/>
      <c r="P1" s="22"/>
    </row>
    <row r="2" spans="1:16" ht="15.6" x14ac:dyDescent="0.3">
      <c r="A2" s="16" t="s">
        <v>1</v>
      </c>
      <c r="B2" s="11">
        <v>-500000</v>
      </c>
      <c r="C2" s="15" t="s">
        <v>7</v>
      </c>
      <c r="D2" s="15" t="s">
        <v>8</v>
      </c>
      <c r="E2" s="11">
        <v>-1000000</v>
      </c>
      <c r="F2" s="15" t="s">
        <v>7</v>
      </c>
      <c r="G2" s="15" t="s">
        <v>8</v>
      </c>
      <c r="H2" s="11">
        <v>-750000</v>
      </c>
      <c r="I2" s="15" t="s">
        <v>7</v>
      </c>
      <c r="J2" s="15" t="s">
        <v>8</v>
      </c>
      <c r="K2" s="11">
        <v>-2000000</v>
      </c>
      <c r="L2" s="15" t="s">
        <v>7</v>
      </c>
      <c r="M2" s="15" t="s">
        <v>8</v>
      </c>
      <c r="N2" s="11">
        <v>-1500000</v>
      </c>
      <c r="O2" s="15" t="s">
        <v>7</v>
      </c>
      <c r="P2" s="17" t="s">
        <v>8</v>
      </c>
    </row>
    <row r="3" spans="1:16" ht="15.6" x14ac:dyDescent="0.3">
      <c r="A3" s="6">
        <v>1</v>
      </c>
      <c r="B3" s="14">
        <v>50000</v>
      </c>
      <c r="C3" s="1">
        <f>NPV(B13,B2:B12)</f>
        <v>32856.160387427626</v>
      </c>
      <c r="D3" s="3">
        <f>IRR(B2:B12)</f>
        <v>0.11384543043387363</v>
      </c>
      <c r="E3" s="14">
        <v>150000</v>
      </c>
      <c r="F3" s="1">
        <f>NPV(E13,E2:E12)</f>
        <v>136907.71545148932</v>
      </c>
      <c r="G3" s="3">
        <f>IRR(E2:E12)</f>
        <v>0.1310837415240389</v>
      </c>
      <c r="H3" s="14">
        <v>100000</v>
      </c>
      <c r="I3" s="1">
        <f>NPV(H13,H2:H12)</f>
        <v>84881.937919458578</v>
      </c>
      <c r="J3" s="3">
        <f>IRR(H2:H12)</f>
        <v>0.12505878926105574</v>
      </c>
      <c r="K3" s="14">
        <v>250000</v>
      </c>
      <c r="L3" s="1">
        <f>NPV(K13,K2:K12)</f>
        <v>-213586.18402990347</v>
      </c>
      <c r="M3" s="3">
        <f>IRR(K2:K12)</f>
        <v>7.3370321144080597E-2</v>
      </c>
      <c r="N3" s="14">
        <v>200000</v>
      </c>
      <c r="O3" s="1">
        <f>NPV(N13,N2:N12)</f>
        <v>-149477.23729985324</v>
      </c>
      <c r="P3" s="18">
        <f>IRR(N2:N12)</f>
        <v>9.3842707305191952E-2</v>
      </c>
    </row>
    <row r="4" spans="1:16" ht="15.6" x14ac:dyDescent="0.3">
      <c r="A4" s="6">
        <v>2</v>
      </c>
      <c r="B4" s="12">
        <v>60000</v>
      </c>
      <c r="D4" s="2"/>
      <c r="E4" s="12">
        <v>160000</v>
      </c>
      <c r="G4" s="2"/>
      <c r="H4" s="12">
        <v>110000</v>
      </c>
      <c r="J4" s="2"/>
      <c r="K4" s="12">
        <v>260000</v>
      </c>
      <c r="M4" s="2"/>
      <c r="N4" s="12">
        <v>210000</v>
      </c>
      <c r="P4" s="5"/>
    </row>
    <row r="5" spans="1:16" ht="15.6" x14ac:dyDescent="0.3">
      <c r="A5" s="6">
        <v>3</v>
      </c>
      <c r="B5" s="12">
        <v>70000</v>
      </c>
      <c r="D5" s="2"/>
      <c r="E5" s="12">
        <v>170000</v>
      </c>
      <c r="G5" s="2"/>
      <c r="H5" s="12">
        <v>120000</v>
      </c>
      <c r="J5" s="2"/>
      <c r="K5" s="12">
        <v>270000</v>
      </c>
      <c r="M5" s="2"/>
      <c r="N5" s="12">
        <v>220000</v>
      </c>
      <c r="P5" s="5"/>
    </row>
    <row r="6" spans="1:16" ht="15.6" x14ac:dyDescent="0.3">
      <c r="A6" s="6">
        <v>4</v>
      </c>
      <c r="B6" s="12">
        <v>80000</v>
      </c>
      <c r="D6" s="2"/>
      <c r="E6" s="12">
        <v>180000</v>
      </c>
      <c r="G6" s="2"/>
      <c r="H6" s="12">
        <v>130000</v>
      </c>
      <c r="J6" s="2"/>
      <c r="K6" s="12">
        <v>280000</v>
      </c>
      <c r="M6" s="2"/>
      <c r="N6" s="12">
        <v>230000</v>
      </c>
      <c r="P6" s="5"/>
    </row>
    <row r="7" spans="1:16" ht="15.6" x14ac:dyDescent="0.3">
      <c r="A7" s="6">
        <v>5</v>
      </c>
      <c r="B7" s="12">
        <v>90000</v>
      </c>
      <c r="D7" s="2"/>
      <c r="E7" s="12">
        <v>190000</v>
      </c>
      <c r="G7" s="2"/>
      <c r="H7" s="12">
        <v>140000</v>
      </c>
      <c r="J7" s="2"/>
      <c r="K7" s="12">
        <v>290000</v>
      </c>
      <c r="M7" s="2"/>
      <c r="N7" s="12">
        <v>240000</v>
      </c>
      <c r="P7" s="5"/>
    </row>
    <row r="8" spans="1:16" ht="15.6" x14ac:dyDescent="0.3">
      <c r="A8" s="6">
        <v>6</v>
      </c>
      <c r="B8" s="12">
        <v>100000</v>
      </c>
      <c r="D8" s="2"/>
      <c r="E8" s="12">
        <v>200000</v>
      </c>
      <c r="G8" s="2"/>
      <c r="H8" s="12">
        <v>150000</v>
      </c>
      <c r="J8" s="2"/>
      <c r="K8" s="12">
        <v>300000</v>
      </c>
      <c r="M8" s="2"/>
      <c r="N8" s="12">
        <v>250000</v>
      </c>
      <c r="P8" s="5"/>
    </row>
    <row r="9" spans="1:16" ht="15.6" x14ac:dyDescent="0.3">
      <c r="A9" s="6">
        <v>7</v>
      </c>
      <c r="B9" s="12">
        <v>110000</v>
      </c>
      <c r="D9" s="2"/>
      <c r="E9" s="12">
        <v>210000</v>
      </c>
      <c r="G9" s="2"/>
      <c r="H9" s="12">
        <v>160000</v>
      </c>
      <c r="J9" s="2"/>
      <c r="K9" s="12">
        <v>310000</v>
      </c>
      <c r="M9" s="2"/>
      <c r="N9" s="12">
        <v>260000</v>
      </c>
      <c r="P9" s="5"/>
    </row>
    <row r="10" spans="1:16" ht="15.6" x14ac:dyDescent="0.3">
      <c r="A10" s="6">
        <v>8</v>
      </c>
      <c r="B10" s="12">
        <v>120000</v>
      </c>
      <c r="D10" s="2"/>
      <c r="E10" s="12">
        <v>220000</v>
      </c>
      <c r="G10" s="2"/>
      <c r="H10" s="12">
        <v>170000</v>
      </c>
      <c r="J10" s="2"/>
      <c r="K10" s="12">
        <v>320000</v>
      </c>
      <c r="M10" s="2"/>
      <c r="N10" s="12">
        <v>270000</v>
      </c>
      <c r="P10" s="5"/>
    </row>
    <row r="11" spans="1:16" ht="15.6" x14ac:dyDescent="0.3">
      <c r="A11" s="6">
        <v>9</v>
      </c>
      <c r="B11" s="12">
        <v>130000</v>
      </c>
      <c r="D11" s="2"/>
      <c r="E11" s="12">
        <v>230000</v>
      </c>
      <c r="G11" s="2"/>
      <c r="H11" s="12">
        <v>180000</v>
      </c>
      <c r="J11" s="2"/>
      <c r="K11" s="12">
        <v>330000</v>
      </c>
      <c r="M11" s="2"/>
      <c r="N11" s="12">
        <v>280000</v>
      </c>
      <c r="P11" s="5"/>
    </row>
    <row r="12" spans="1:16" ht="15.6" x14ac:dyDescent="0.3">
      <c r="A12" s="6">
        <v>10</v>
      </c>
      <c r="B12" s="12">
        <v>140000</v>
      </c>
      <c r="D12" s="2"/>
      <c r="E12" s="12">
        <v>240000</v>
      </c>
      <c r="G12" s="2"/>
      <c r="H12" s="12">
        <v>190000</v>
      </c>
      <c r="J12" s="2"/>
      <c r="K12" s="12">
        <v>340000</v>
      </c>
      <c r="M12" s="2"/>
      <c r="N12" s="12">
        <v>290000</v>
      </c>
      <c r="P12" s="5"/>
    </row>
    <row r="13" spans="1:16" ht="16.2" thickBot="1" x14ac:dyDescent="0.35">
      <c r="A13" s="7" t="s">
        <v>6</v>
      </c>
      <c r="B13" s="13">
        <v>0.1</v>
      </c>
      <c r="C13" s="8"/>
      <c r="D13" s="9"/>
      <c r="E13" s="13">
        <v>0.1</v>
      </c>
      <c r="F13" s="8"/>
      <c r="G13" s="9"/>
      <c r="H13" s="13">
        <v>0.1</v>
      </c>
      <c r="I13" s="8"/>
      <c r="J13" s="9"/>
      <c r="K13" s="13">
        <v>0.1</v>
      </c>
      <c r="L13" s="8"/>
      <c r="M13" s="9"/>
      <c r="N13" s="13">
        <v>0.12</v>
      </c>
      <c r="O13" s="8"/>
      <c r="P13" s="10"/>
    </row>
    <row r="16" spans="1:16" x14ac:dyDescent="0.3">
      <c r="B16" s="23"/>
      <c r="C16" s="1">
        <f>NPV(B13,B2:B12)</f>
        <v>32856.160387427626</v>
      </c>
    </row>
    <row r="17" spans="2:5" x14ac:dyDescent="0.3">
      <c r="C17" s="1"/>
      <c r="E17" s="3"/>
    </row>
    <row r="18" spans="2:5" x14ac:dyDescent="0.3">
      <c r="C18" s="23"/>
    </row>
    <row r="19" spans="2:5" x14ac:dyDescent="0.3">
      <c r="B19" t="s">
        <v>15</v>
      </c>
    </row>
    <row r="21" spans="2:5" x14ac:dyDescent="0.3">
      <c r="B21" s="3">
        <f>IRR(B2:B12)</f>
        <v>0.11384543043387363</v>
      </c>
    </row>
    <row r="22" spans="2:5" x14ac:dyDescent="0.3">
      <c r="B22" t="s">
        <v>16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F3F25-76FC-4858-88C9-DB04307099B6}">
  <dimension ref="A1:D9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4" max="4" width="28.5546875" customWidth="1"/>
  </cols>
  <sheetData>
    <row r="1" spans="1:4" x14ac:dyDescent="0.3">
      <c r="A1" s="24" t="s">
        <v>10</v>
      </c>
      <c r="B1" s="24">
        <v>20000</v>
      </c>
    </row>
    <row r="2" spans="1:4" x14ac:dyDescent="0.3">
      <c r="A2" s="24" t="s">
        <v>9</v>
      </c>
      <c r="B2" s="24">
        <v>10000</v>
      </c>
    </row>
    <row r="4" spans="1:4" x14ac:dyDescent="0.3">
      <c r="D4" t="s">
        <v>13</v>
      </c>
    </row>
    <row r="8" spans="1:4" x14ac:dyDescent="0.3">
      <c r="A8" t="s">
        <v>11</v>
      </c>
      <c r="B8">
        <f>B1-B2</f>
        <v>10000</v>
      </c>
      <c r="C8">
        <f>B1-B2</f>
        <v>10000</v>
      </c>
      <c r="D8" t="s">
        <v>14</v>
      </c>
    </row>
    <row r="9" spans="1:4" x14ac:dyDescent="0.3">
      <c r="A9" t="s">
        <v>12</v>
      </c>
      <c r="C9">
        <f>(C8/B1)*100</f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Srajankumar Angadi</dc:creator>
  <cp:lastModifiedBy>Srajankumar Angadi</cp:lastModifiedBy>
  <dcterms:created xsi:type="dcterms:W3CDTF">2025-01-31T08:31:57Z</dcterms:created>
  <dcterms:modified xsi:type="dcterms:W3CDTF">2025-05-06T12:42:41Z</dcterms:modified>
</cp:coreProperties>
</file>