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mining and visualization\"/>
    </mc:Choice>
  </mc:AlternateContent>
  <xr:revisionPtr revIDLastSave="0" documentId="13_ncr:1_{89BDC215-AE30-4392-A6FA-D09504DBC878}" xr6:coauthVersionLast="47" xr6:coauthVersionMax="47" xr10:uidLastSave="{00000000-0000-0000-0000-000000000000}"/>
  <bookViews>
    <workbookView xWindow="-108" yWindow="-108" windowWidth="23256" windowHeight="12456" activeTab="2" xr2:uid="{3D31C20C-A88D-4E55-943C-5F8817B05C15}"/>
  </bookViews>
  <sheets>
    <sheet name="Transport Optimization" sheetId="1" r:id="rId1"/>
    <sheet name="Profit Maximization" sheetId="2" r:id="rId2"/>
    <sheet name="Marks Optimization" sheetId="3" r:id="rId3"/>
  </sheets>
  <definedNames>
    <definedName name="solver_adj" localSheetId="2" hidden="1">'Marks Optimization'!$B$14:$F$18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'Marks Optimization'!$B$19:$F$19</definedName>
    <definedName name="solver_lhs2" localSheetId="2" hidden="1">'Marks Optimization'!$G$14:$G$18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'Marks Optimization'!$B$21</definedName>
    <definedName name="solver_pre" localSheetId="2" hidden="1">0.000001</definedName>
    <definedName name="solver_rbv" localSheetId="2" hidden="1">1</definedName>
    <definedName name="solver_rel1" localSheetId="2" hidden="1">2</definedName>
    <definedName name="solver_rel2" localSheetId="2" hidden="1">2</definedName>
    <definedName name="solver_rhs1" localSheetId="2" hidden="1">1</definedName>
    <definedName name="solver_rhs2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" i="3" l="1"/>
  <c r="G15" i="3"/>
  <c r="G16" i="3"/>
  <c r="G17" i="3"/>
  <c r="G18" i="3"/>
  <c r="B19" i="3"/>
  <c r="C19" i="3"/>
  <c r="D19" i="3"/>
  <c r="E19" i="3"/>
  <c r="F19" i="3"/>
  <c r="B21" i="3"/>
  <c r="E13" i="2"/>
  <c r="E16" i="2"/>
  <c r="E17" i="2"/>
  <c r="E18" i="2"/>
  <c r="E19" i="2"/>
  <c r="F13" i="1"/>
  <c r="F14" i="1"/>
  <c r="F15" i="1"/>
  <c r="F16" i="1"/>
  <c r="B17" i="1"/>
  <c r="C17" i="1"/>
  <c r="D17" i="1"/>
  <c r="E17" i="1"/>
  <c r="B20" i="1"/>
</calcChain>
</file>

<file path=xl/sharedStrings.xml><?xml version="1.0" encoding="utf-8"?>
<sst xmlns="http://schemas.openxmlformats.org/spreadsheetml/2006/main" count="106" uniqueCount="57">
  <si>
    <t>Total Cost</t>
  </si>
  <si>
    <t>Demand</t>
  </si>
  <si>
    <t>Factory 1</t>
  </si>
  <si>
    <t>Capacity</t>
  </si>
  <si>
    <t>Total capacity Used</t>
  </si>
  <si>
    <t>Market 4</t>
  </si>
  <si>
    <t>Market 3</t>
  </si>
  <si>
    <t>Market 2</t>
  </si>
  <si>
    <t>Market 1</t>
  </si>
  <si>
    <t>Transportation Problems in Linear Programming</t>
  </si>
  <si>
    <t>M4</t>
  </si>
  <si>
    <t>M3</t>
  </si>
  <si>
    <t>M2</t>
  </si>
  <si>
    <t>M1</t>
  </si>
  <si>
    <t>Max Capacity</t>
  </si>
  <si>
    <t>Capcity Used</t>
  </si>
  <si>
    <t>Bed</t>
  </si>
  <si>
    <t>Chair</t>
  </si>
  <si>
    <t>Table</t>
  </si>
  <si>
    <t>Machine</t>
  </si>
  <si>
    <t>Contribution</t>
  </si>
  <si>
    <t>Decision Variable</t>
  </si>
  <si>
    <t>Profit</t>
  </si>
  <si>
    <t>Group Score</t>
  </si>
  <si>
    <t>Dummy Assignment</t>
  </si>
  <si>
    <t>Accounting for Managers</t>
  </si>
  <si>
    <t>MOB</t>
  </si>
  <si>
    <t>Statistics</t>
  </si>
  <si>
    <t>Economics</t>
  </si>
  <si>
    <t>Students1</t>
  </si>
  <si>
    <t>Student2</t>
  </si>
  <si>
    <t>Student3</t>
  </si>
  <si>
    <t>Student4</t>
  </si>
  <si>
    <t>Student5</t>
  </si>
  <si>
    <t>Student Score Maximixzation</t>
  </si>
  <si>
    <t>Problem:</t>
  </si>
  <si>
    <t>Finding which student should attempt which subject test to get max score in total</t>
  </si>
  <si>
    <t>Solution:</t>
  </si>
  <si>
    <t>Conclusion:</t>
  </si>
  <si>
    <t>None</t>
  </si>
  <si>
    <t>Student1</t>
  </si>
  <si>
    <t>Acounting</t>
  </si>
  <si>
    <t>Getting Max Benefit from manufacturing table, chair and bed with combination</t>
  </si>
  <si>
    <t>Profit Maximization using solver</t>
  </si>
  <si>
    <t>Item</t>
  </si>
  <si>
    <t>Quantity</t>
  </si>
  <si>
    <t>The following should be manufactured to get the max profit.</t>
  </si>
  <si>
    <t>Demand Met</t>
  </si>
  <si>
    <t>Minimizing the overall cost while meeting demands of all the market with the limitations of factory capacity to produce items</t>
  </si>
  <si>
    <t>Factory 2</t>
  </si>
  <si>
    <t>Factory 3</t>
  </si>
  <si>
    <t>Factory 4</t>
  </si>
  <si>
    <t>200 units to Market 3</t>
  </si>
  <si>
    <t>100 units to Market 1</t>
  </si>
  <si>
    <t>100 units to Market 1 &amp; 200 units to Market 4</t>
  </si>
  <si>
    <t>50 units to Market 1 &amp; 200 units to Market 2</t>
  </si>
  <si>
    <t>Following facotry should meet following markets to minimize the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</si>
</sst>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2" fillId="0" borderId="2" xfId="0" applyFont="1" applyBorder="1" applyAlignment="1">
      <alignment horizontal="center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1" fillId="0" borderId="0" xfId="0" applyFont="1" applyAlignment="1">
      <alignment horizontal="center" wrapText="1"/>
    </xf>
    <xf numFmtId="0" fontId="1" fillId="0" borderId="0" xfId="0" applyFont="1" applyFill="1" applyBorder="1"/>
    <xf numFmtId="0" fontId="0" fillId="5" borderId="1" xfId="0" applyFill="1" applyBorder="1" applyAlignment="1">
      <alignment horizontal="center"/>
    </xf>
    <xf numFmtId="0" fontId="1" fillId="3" borderId="1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AC74-3DB7-4D13-BD9D-502AB05D0875}">
  <dimension ref="A1:G26"/>
  <sheetViews>
    <sheetView workbookViewId="0">
      <selection activeCell="E12" sqref="E12"/>
    </sheetView>
  </sheetViews>
  <sheetFormatPr defaultRowHeight="14.4" x14ac:dyDescent="0.3"/>
  <cols>
    <col min="1" max="1" width="11.44140625" bestFit="1" customWidth="1"/>
    <col min="2" max="2" width="9.44140625" bestFit="1" customWidth="1"/>
    <col min="3" max="5" width="8.109375" bestFit="1" customWidth="1"/>
    <col min="6" max="6" width="17.44140625" bestFit="1" customWidth="1"/>
  </cols>
  <sheetData>
    <row r="1" spans="1:7" ht="28.8" customHeight="1" x14ac:dyDescent="0.3">
      <c r="A1" s="18" t="s">
        <v>35</v>
      </c>
      <c r="B1" s="14" t="s">
        <v>48</v>
      </c>
      <c r="C1" s="14"/>
      <c r="D1" s="14"/>
      <c r="E1" s="14"/>
      <c r="F1" s="14"/>
      <c r="G1" s="14"/>
    </row>
    <row r="2" spans="1:7" x14ac:dyDescent="0.3">
      <c r="A2" s="3" t="s">
        <v>9</v>
      </c>
      <c r="B2" s="3"/>
      <c r="C2" s="3"/>
      <c r="D2" s="3"/>
      <c r="E2" s="3"/>
      <c r="F2" s="3"/>
      <c r="G2" s="3"/>
    </row>
    <row r="3" spans="1:7" x14ac:dyDescent="0.3">
      <c r="A3" s="1"/>
      <c r="B3" s="2" t="s">
        <v>8</v>
      </c>
      <c r="C3" s="2" t="s">
        <v>7</v>
      </c>
      <c r="D3" s="2" t="s">
        <v>6</v>
      </c>
      <c r="E3" s="2" t="s">
        <v>5</v>
      </c>
      <c r="F3" s="4" t="s">
        <v>3</v>
      </c>
      <c r="G3" s="4"/>
    </row>
    <row r="4" spans="1:7" x14ac:dyDescent="0.3">
      <c r="A4" s="2" t="s">
        <v>2</v>
      </c>
      <c r="B4" s="1">
        <v>5</v>
      </c>
      <c r="C4" s="1">
        <v>4</v>
      </c>
      <c r="D4" s="1">
        <v>6</v>
      </c>
      <c r="E4" s="1">
        <v>3</v>
      </c>
      <c r="F4">
        <v>250</v>
      </c>
    </row>
    <row r="5" spans="1:7" x14ac:dyDescent="0.3">
      <c r="A5" s="2">
        <v>2</v>
      </c>
      <c r="B5" s="1">
        <v>7</v>
      </c>
      <c r="C5" s="1">
        <v>8</v>
      </c>
      <c r="D5" s="1">
        <v>8</v>
      </c>
      <c r="E5" s="1">
        <v>1</v>
      </c>
      <c r="F5">
        <v>300</v>
      </c>
    </row>
    <row r="6" spans="1:7" x14ac:dyDescent="0.3">
      <c r="A6" s="2">
        <v>3</v>
      </c>
      <c r="B6" s="1">
        <v>4</v>
      </c>
      <c r="C6" s="1">
        <v>4</v>
      </c>
      <c r="D6" s="1">
        <v>3</v>
      </c>
      <c r="E6" s="1">
        <v>6</v>
      </c>
      <c r="F6">
        <v>100</v>
      </c>
    </row>
    <row r="7" spans="1:7" x14ac:dyDescent="0.3">
      <c r="A7" s="2">
        <v>4</v>
      </c>
      <c r="B7" s="1">
        <v>8</v>
      </c>
      <c r="C7" s="1">
        <v>7</v>
      </c>
      <c r="D7" s="1">
        <v>6</v>
      </c>
      <c r="E7" s="1">
        <v>8</v>
      </c>
      <c r="F7">
        <v>200</v>
      </c>
    </row>
    <row r="8" spans="1:7" x14ac:dyDescent="0.3">
      <c r="A8" s="4" t="s">
        <v>1</v>
      </c>
      <c r="B8">
        <v>250</v>
      </c>
      <c r="C8">
        <v>200</v>
      </c>
      <c r="D8">
        <v>200</v>
      </c>
      <c r="E8">
        <v>200</v>
      </c>
    </row>
    <row r="10" spans="1:7" ht="25.8" customHeight="1" x14ac:dyDescent="0.3">
      <c r="A10" s="4" t="s">
        <v>37</v>
      </c>
    </row>
    <row r="12" spans="1:7" x14ac:dyDescent="0.3">
      <c r="A12" s="1"/>
      <c r="B12" s="2" t="s">
        <v>8</v>
      </c>
      <c r="C12" s="2" t="s">
        <v>7</v>
      </c>
      <c r="D12" s="2" t="s">
        <v>6</v>
      </c>
      <c r="E12" s="2" t="s">
        <v>5</v>
      </c>
      <c r="F12" s="2" t="s">
        <v>4</v>
      </c>
      <c r="G12" s="2" t="s">
        <v>3</v>
      </c>
    </row>
    <row r="13" spans="1:7" x14ac:dyDescent="0.3">
      <c r="A13" s="2" t="s">
        <v>2</v>
      </c>
      <c r="B13" s="1">
        <v>50</v>
      </c>
      <c r="C13" s="1">
        <v>200</v>
      </c>
      <c r="D13" s="1">
        <v>0</v>
      </c>
      <c r="E13" s="1">
        <v>0</v>
      </c>
      <c r="F13" s="1">
        <f>SUMPRODUCT(B13:E13)</f>
        <v>250</v>
      </c>
      <c r="G13" s="1">
        <v>250</v>
      </c>
    </row>
    <row r="14" spans="1:7" x14ac:dyDescent="0.3">
      <c r="A14" s="2" t="s">
        <v>49</v>
      </c>
      <c r="B14" s="1">
        <v>100</v>
      </c>
      <c r="C14" s="1">
        <v>0</v>
      </c>
      <c r="D14" s="1">
        <v>0</v>
      </c>
      <c r="E14" s="1">
        <v>200</v>
      </c>
      <c r="F14" s="1">
        <f>SUMPRODUCT(B14:E14)</f>
        <v>300</v>
      </c>
      <c r="G14" s="1">
        <v>300</v>
      </c>
    </row>
    <row r="15" spans="1:7" x14ac:dyDescent="0.3">
      <c r="A15" s="2" t="s">
        <v>50</v>
      </c>
      <c r="B15" s="1">
        <v>100</v>
      </c>
      <c r="C15" s="1">
        <v>0</v>
      </c>
      <c r="D15" s="1">
        <v>0</v>
      </c>
      <c r="E15" s="1">
        <v>0</v>
      </c>
      <c r="F15" s="1">
        <f>SUMPRODUCT(B15:E15)</f>
        <v>100</v>
      </c>
      <c r="G15" s="1">
        <v>100</v>
      </c>
    </row>
    <row r="16" spans="1:7" x14ac:dyDescent="0.3">
      <c r="A16" s="2" t="s">
        <v>51</v>
      </c>
      <c r="B16" s="1">
        <v>0</v>
      </c>
      <c r="C16" s="1">
        <v>0</v>
      </c>
      <c r="D16" s="1">
        <v>200</v>
      </c>
      <c r="E16" s="1">
        <v>0</v>
      </c>
      <c r="F16" s="1">
        <f>SUMPRODUCT(B16:E16)</f>
        <v>200</v>
      </c>
      <c r="G16" s="1">
        <v>200</v>
      </c>
    </row>
    <row r="17" spans="1:6" x14ac:dyDescent="0.3">
      <c r="A17" s="2" t="s">
        <v>47</v>
      </c>
      <c r="B17" s="1">
        <f>SUMPRODUCT(B13:B16)</f>
        <v>250</v>
      </c>
      <c r="C17" s="1">
        <f>SUMPRODUCT(C13:C16)</f>
        <v>200</v>
      </c>
      <c r="D17" s="1">
        <f>SUMPRODUCT(D13:D16)</f>
        <v>200</v>
      </c>
      <c r="E17" s="1">
        <f>SUMPRODUCT(E13:E16)</f>
        <v>200</v>
      </c>
    </row>
    <row r="18" spans="1:6" x14ac:dyDescent="0.3">
      <c r="A18" s="2" t="s">
        <v>1</v>
      </c>
      <c r="B18" s="1">
        <v>250</v>
      </c>
      <c r="C18" s="1">
        <v>200</v>
      </c>
      <c r="D18" s="1">
        <v>200</v>
      </c>
      <c r="E18" s="1">
        <v>200</v>
      </c>
    </row>
    <row r="20" spans="1:6" x14ac:dyDescent="0.3">
      <c r="A20" s="4" t="s">
        <v>0</v>
      </c>
      <c r="B20" s="5">
        <f>SUMPRODUCT(B13:E16,B4:E7)</f>
        <v>3550</v>
      </c>
    </row>
    <row r="22" spans="1:6" x14ac:dyDescent="0.3">
      <c r="A22" s="15" t="s">
        <v>38</v>
      </c>
      <c r="B22" t="s">
        <v>56</v>
      </c>
    </row>
    <row r="23" spans="1:6" x14ac:dyDescent="0.3">
      <c r="B23" s="17" t="s">
        <v>2</v>
      </c>
      <c r="C23" s="16" t="s">
        <v>55</v>
      </c>
      <c r="D23" s="16"/>
      <c r="E23" s="16"/>
      <c r="F23" s="16"/>
    </row>
    <row r="24" spans="1:6" x14ac:dyDescent="0.3">
      <c r="B24" s="17" t="s">
        <v>49</v>
      </c>
      <c r="C24" s="16" t="s">
        <v>54</v>
      </c>
      <c r="D24" s="16"/>
      <c r="E24" s="16"/>
      <c r="F24" s="16"/>
    </row>
    <row r="25" spans="1:6" x14ac:dyDescent="0.3">
      <c r="B25" s="17" t="s">
        <v>50</v>
      </c>
      <c r="C25" s="16" t="s">
        <v>53</v>
      </c>
      <c r="D25" s="16"/>
      <c r="E25" s="16"/>
      <c r="F25" s="16"/>
    </row>
    <row r="26" spans="1:6" x14ac:dyDescent="0.3">
      <c r="B26" s="17" t="s">
        <v>51</v>
      </c>
      <c r="C26" s="16" t="s">
        <v>52</v>
      </c>
      <c r="D26" s="16"/>
      <c r="E26" s="16"/>
      <c r="F26" s="16"/>
    </row>
  </sheetData>
  <mergeCells count="6">
    <mergeCell ref="A2:G2"/>
    <mergeCell ref="B1:G1"/>
    <mergeCell ref="C23:F23"/>
    <mergeCell ref="C24:F24"/>
    <mergeCell ref="C25:F25"/>
    <mergeCell ref="C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F3E0-3898-4825-85DA-2568297DB1A3}">
  <dimension ref="A1:H25"/>
  <sheetViews>
    <sheetView workbookViewId="0"/>
  </sheetViews>
  <sheetFormatPr defaultRowHeight="14.4" x14ac:dyDescent="0.3"/>
  <cols>
    <col min="1" max="1" width="15.6640625" bestFit="1" customWidth="1"/>
    <col min="5" max="5" width="12.109375" bestFit="1" customWidth="1"/>
  </cols>
  <sheetData>
    <row r="1" spans="1:8" ht="31.8" customHeight="1" x14ac:dyDescent="0.3">
      <c r="A1" s="20" t="s">
        <v>35</v>
      </c>
      <c r="B1" s="19" t="s">
        <v>42</v>
      </c>
      <c r="C1" s="19"/>
      <c r="D1" s="19"/>
      <c r="E1" s="19"/>
      <c r="F1" s="19"/>
      <c r="G1" s="19"/>
      <c r="H1" s="10"/>
    </row>
    <row r="3" spans="1:8" x14ac:dyDescent="0.3">
      <c r="A3" s="3" t="s">
        <v>43</v>
      </c>
      <c r="B3" s="9"/>
      <c r="C3" s="9"/>
      <c r="D3" s="9"/>
      <c r="E3" s="9"/>
    </row>
    <row r="4" spans="1:8" x14ac:dyDescent="0.3">
      <c r="A4" s="4" t="s">
        <v>19</v>
      </c>
      <c r="B4" s="4" t="s">
        <v>18</v>
      </c>
      <c r="C4" s="4" t="s">
        <v>17</v>
      </c>
      <c r="D4" s="4" t="s">
        <v>16</v>
      </c>
      <c r="E4" s="4" t="s">
        <v>14</v>
      </c>
    </row>
    <row r="5" spans="1:8" x14ac:dyDescent="0.3">
      <c r="A5" t="s">
        <v>13</v>
      </c>
      <c r="B5">
        <v>4</v>
      </c>
      <c r="C5">
        <v>3</v>
      </c>
      <c r="D5">
        <v>8</v>
      </c>
      <c r="E5">
        <v>250</v>
      </c>
    </row>
    <row r="6" spans="1:8" x14ac:dyDescent="0.3">
      <c r="A6" t="s">
        <v>12</v>
      </c>
      <c r="B6">
        <v>5</v>
      </c>
      <c r="C6">
        <v>5</v>
      </c>
      <c r="D6">
        <v>12</v>
      </c>
      <c r="E6">
        <v>400</v>
      </c>
    </row>
    <row r="7" spans="1:8" x14ac:dyDescent="0.3">
      <c r="A7" t="s">
        <v>11</v>
      </c>
      <c r="B7">
        <v>3</v>
      </c>
      <c r="C7">
        <v>6</v>
      </c>
      <c r="D7">
        <v>9</v>
      </c>
      <c r="E7">
        <v>300</v>
      </c>
    </row>
    <row r="8" spans="1:8" x14ac:dyDescent="0.3">
      <c r="A8" t="s">
        <v>10</v>
      </c>
      <c r="B8">
        <v>4</v>
      </c>
      <c r="C8">
        <v>8</v>
      </c>
      <c r="D8">
        <v>6</v>
      </c>
      <c r="E8">
        <v>600</v>
      </c>
    </row>
    <row r="10" spans="1:8" ht="28.8" customHeight="1" x14ac:dyDescent="0.3">
      <c r="A10" s="4" t="s">
        <v>37</v>
      </c>
    </row>
    <row r="11" spans="1:8" x14ac:dyDescent="0.3">
      <c r="B11" s="4" t="s">
        <v>18</v>
      </c>
      <c r="C11" s="4" t="s">
        <v>17</v>
      </c>
      <c r="D11" s="4" t="s">
        <v>16</v>
      </c>
      <c r="E11" s="4" t="s">
        <v>22</v>
      </c>
    </row>
    <row r="12" spans="1:8" x14ac:dyDescent="0.3">
      <c r="A12" s="4" t="s">
        <v>21</v>
      </c>
      <c r="B12">
        <v>40</v>
      </c>
      <c r="C12">
        <v>29.999999999999996</v>
      </c>
      <c r="D12">
        <v>0</v>
      </c>
    </row>
    <row r="13" spans="1:8" x14ac:dyDescent="0.3">
      <c r="A13" s="4" t="s">
        <v>20</v>
      </c>
      <c r="B13" s="5">
        <v>40</v>
      </c>
      <c r="C13" s="5">
        <v>35</v>
      </c>
      <c r="D13" s="5">
        <v>70</v>
      </c>
      <c r="E13" s="5">
        <f>SUMPRODUCT(B12:D12,B13:D13)</f>
        <v>2650</v>
      </c>
    </row>
    <row r="15" spans="1:8" x14ac:dyDescent="0.3">
      <c r="A15" s="4" t="s">
        <v>19</v>
      </c>
      <c r="B15" s="4" t="s">
        <v>18</v>
      </c>
      <c r="C15" s="4" t="s">
        <v>17</v>
      </c>
      <c r="D15" s="4" t="s">
        <v>16</v>
      </c>
      <c r="E15" s="4" t="s">
        <v>15</v>
      </c>
      <c r="F15" s="4" t="s">
        <v>14</v>
      </c>
    </row>
    <row r="16" spans="1:8" x14ac:dyDescent="0.3">
      <c r="A16" t="s">
        <v>13</v>
      </c>
      <c r="B16">
        <v>4</v>
      </c>
      <c r="C16">
        <v>3</v>
      </c>
      <c r="D16">
        <v>8</v>
      </c>
      <c r="E16">
        <f>SUMPRODUCT(B16:D16,B12:D12)</f>
        <v>250</v>
      </c>
      <c r="F16">
        <v>250</v>
      </c>
    </row>
    <row r="17" spans="1:6" x14ac:dyDescent="0.3">
      <c r="A17" t="s">
        <v>12</v>
      </c>
      <c r="B17">
        <v>5</v>
      </c>
      <c r="C17">
        <v>5</v>
      </c>
      <c r="D17">
        <v>12</v>
      </c>
      <c r="E17">
        <f>SUMPRODUCT(B17:D17,B12:D12)</f>
        <v>350</v>
      </c>
      <c r="F17">
        <v>400</v>
      </c>
    </row>
    <row r="18" spans="1:6" x14ac:dyDescent="0.3">
      <c r="A18" t="s">
        <v>11</v>
      </c>
      <c r="B18">
        <v>3</v>
      </c>
      <c r="C18">
        <v>6</v>
      </c>
      <c r="D18">
        <v>9</v>
      </c>
      <c r="E18">
        <f>SUMPRODUCT(B18:D18,B12:D12)</f>
        <v>300</v>
      </c>
      <c r="F18">
        <v>300</v>
      </c>
    </row>
    <row r="19" spans="1:6" x14ac:dyDescent="0.3">
      <c r="A19" t="s">
        <v>10</v>
      </c>
      <c r="B19">
        <v>4</v>
      </c>
      <c r="C19">
        <v>8</v>
      </c>
      <c r="D19">
        <v>6</v>
      </c>
      <c r="E19">
        <f>SUMPRODUCT(B19:D19,B12:D12)</f>
        <v>400</v>
      </c>
      <c r="F19">
        <v>600</v>
      </c>
    </row>
    <row r="21" spans="1:6" x14ac:dyDescent="0.3">
      <c r="A21" s="4" t="s">
        <v>38</v>
      </c>
      <c r="B21" t="s">
        <v>46</v>
      </c>
    </row>
    <row r="22" spans="1:6" x14ac:dyDescent="0.3">
      <c r="B22" s="13" t="s">
        <v>44</v>
      </c>
      <c r="C22" s="13" t="s">
        <v>45</v>
      </c>
    </row>
    <row r="23" spans="1:6" x14ac:dyDescent="0.3">
      <c r="B23" s="11" t="s">
        <v>17</v>
      </c>
      <c r="C23" s="12">
        <v>30</v>
      </c>
    </row>
    <row r="24" spans="1:6" x14ac:dyDescent="0.3">
      <c r="B24" s="11" t="s">
        <v>18</v>
      </c>
      <c r="C24" s="12">
        <v>40</v>
      </c>
    </row>
    <row r="25" spans="1:6" x14ac:dyDescent="0.3">
      <c r="B25" s="11" t="s">
        <v>16</v>
      </c>
      <c r="C25" s="12">
        <v>0</v>
      </c>
    </row>
  </sheetData>
  <mergeCells count="2">
    <mergeCell ref="A3:E3"/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2FFE-AC7A-4923-893E-5EBE6AD7250C}">
  <dimension ref="A1:I27"/>
  <sheetViews>
    <sheetView tabSelected="1" topLeftCell="A6" workbookViewId="0">
      <selection activeCell="E23" sqref="E23"/>
    </sheetView>
  </sheetViews>
  <sheetFormatPr defaultRowHeight="14.4" x14ac:dyDescent="0.3"/>
  <cols>
    <col min="1" max="1" width="21" bestFit="1" customWidth="1"/>
    <col min="2" max="2" width="9.44140625" bestFit="1" customWidth="1"/>
    <col min="3" max="3" width="9.88671875" bestFit="1" customWidth="1"/>
  </cols>
  <sheetData>
    <row r="1" spans="1:9" ht="29.4" customHeight="1" x14ac:dyDescent="0.3">
      <c r="A1" s="20" t="s">
        <v>35</v>
      </c>
      <c r="B1" s="19" t="s">
        <v>36</v>
      </c>
      <c r="C1" s="19"/>
      <c r="D1" s="19"/>
      <c r="E1" s="19"/>
      <c r="F1" s="19"/>
      <c r="G1" s="19"/>
      <c r="H1" s="10"/>
      <c r="I1" s="10"/>
    </row>
    <row r="3" spans="1:9" x14ac:dyDescent="0.3">
      <c r="A3" s="7" t="s">
        <v>34</v>
      </c>
      <c r="B3" s="7"/>
      <c r="C3" s="7"/>
      <c r="D3" s="7"/>
      <c r="E3" s="7"/>
      <c r="F3" s="7"/>
    </row>
    <row r="4" spans="1:9" x14ac:dyDescent="0.3">
      <c r="A4" s="1"/>
      <c r="B4" s="8" t="s">
        <v>29</v>
      </c>
      <c r="C4" s="8" t="s">
        <v>30</v>
      </c>
      <c r="D4" s="8" t="s">
        <v>31</v>
      </c>
      <c r="E4" s="8" t="s">
        <v>32</v>
      </c>
      <c r="F4" s="8" t="s">
        <v>33</v>
      </c>
    </row>
    <row r="5" spans="1:9" x14ac:dyDescent="0.3">
      <c r="A5" s="8" t="s">
        <v>28</v>
      </c>
      <c r="B5" s="1">
        <v>4</v>
      </c>
      <c r="C5" s="1">
        <v>90</v>
      </c>
      <c r="D5" s="1">
        <v>64</v>
      </c>
      <c r="E5" s="1">
        <v>58</v>
      </c>
      <c r="F5" s="1">
        <v>73</v>
      </c>
    </row>
    <row r="6" spans="1:9" x14ac:dyDescent="0.3">
      <c r="A6" s="8" t="s">
        <v>27</v>
      </c>
      <c r="B6" s="1">
        <v>19</v>
      </c>
      <c r="C6" s="1">
        <v>88</v>
      </c>
      <c r="D6" s="1">
        <v>52</v>
      </c>
      <c r="E6" s="1">
        <v>41</v>
      </c>
      <c r="F6" s="1">
        <v>14</v>
      </c>
    </row>
    <row r="7" spans="1:9" x14ac:dyDescent="0.3">
      <c r="A7" s="8" t="s">
        <v>26</v>
      </c>
      <c r="B7" s="1">
        <v>35</v>
      </c>
      <c r="C7" s="1">
        <v>86</v>
      </c>
      <c r="D7" s="1">
        <v>68</v>
      </c>
      <c r="E7" s="1">
        <v>11</v>
      </c>
      <c r="F7" s="1">
        <v>6</v>
      </c>
    </row>
    <row r="8" spans="1:9" x14ac:dyDescent="0.3">
      <c r="A8" s="8" t="s">
        <v>25</v>
      </c>
      <c r="B8" s="1">
        <v>78</v>
      </c>
      <c r="C8" s="1">
        <v>41</v>
      </c>
      <c r="D8" s="1">
        <v>88</v>
      </c>
      <c r="E8" s="1">
        <v>93</v>
      </c>
      <c r="F8" s="1">
        <v>53</v>
      </c>
    </row>
    <row r="9" spans="1:9" x14ac:dyDescent="0.3">
      <c r="A9" s="8" t="s">
        <v>24</v>
      </c>
      <c r="B9" s="1">
        <v>0</v>
      </c>
      <c r="C9" s="1">
        <v>0</v>
      </c>
      <c r="D9" s="1">
        <v>0</v>
      </c>
      <c r="E9" s="1">
        <v>0</v>
      </c>
      <c r="F9" s="1">
        <v>0</v>
      </c>
    </row>
    <row r="11" spans="1:9" x14ac:dyDescent="0.3">
      <c r="A11" s="20" t="s">
        <v>37</v>
      </c>
    </row>
    <row r="13" spans="1:9" x14ac:dyDescent="0.3">
      <c r="A13" s="1"/>
      <c r="B13" s="8" t="s">
        <v>29</v>
      </c>
      <c r="C13" s="8" t="s">
        <v>30</v>
      </c>
      <c r="D13" s="8" t="s">
        <v>31</v>
      </c>
      <c r="E13" s="8" t="s">
        <v>32</v>
      </c>
      <c r="F13" s="8" t="s">
        <v>33</v>
      </c>
    </row>
    <row r="14" spans="1:9" x14ac:dyDescent="0.3">
      <c r="A14" s="8" t="s">
        <v>28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>
        <f>SUM(B14:F14)</f>
        <v>1</v>
      </c>
    </row>
    <row r="15" spans="1:9" x14ac:dyDescent="0.3">
      <c r="A15" s="8" t="s">
        <v>27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>
        <f>SUM(B15:F15)</f>
        <v>1</v>
      </c>
    </row>
    <row r="16" spans="1:9" x14ac:dyDescent="0.3">
      <c r="A16" s="8" t="s">
        <v>26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>
        <f>SUM(B16:F16)</f>
        <v>1</v>
      </c>
    </row>
    <row r="17" spans="1:7" x14ac:dyDescent="0.3">
      <c r="A17" s="8" t="s">
        <v>25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>
        <f>SUM(B17:F17)</f>
        <v>1</v>
      </c>
    </row>
    <row r="18" spans="1:7" x14ac:dyDescent="0.3">
      <c r="A18" s="8" t="s">
        <v>24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>
        <f>SUM(B18:F18)</f>
        <v>1</v>
      </c>
    </row>
    <row r="19" spans="1:7" x14ac:dyDescent="0.3">
      <c r="B19">
        <f>SUM(B14:B18)</f>
        <v>1</v>
      </c>
      <c r="C19">
        <f>SUM(C14:C18)</f>
        <v>1</v>
      </c>
      <c r="D19">
        <f>SUM(D14:D18)</f>
        <v>1</v>
      </c>
      <c r="E19">
        <f>SUM(E14:E18)</f>
        <v>1</v>
      </c>
      <c r="F19">
        <f>SUM(F14:F18)</f>
        <v>1</v>
      </c>
    </row>
    <row r="21" spans="1:7" x14ac:dyDescent="0.3">
      <c r="A21" s="6" t="s">
        <v>23</v>
      </c>
      <c r="B21" s="4">
        <f>SUMPRODUCT(B14:F18,B5:F9)</f>
        <v>322</v>
      </c>
    </row>
    <row r="23" spans="1:7" x14ac:dyDescent="0.3">
      <c r="A23" s="4" t="s">
        <v>38</v>
      </c>
      <c r="B23" s="21" t="s">
        <v>40</v>
      </c>
      <c r="C23" s="22" t="s">
        <v>39</v>
      </c>
    </row>
    <row r="24" spans="1:7" x14ac:dyDescent="0.3">
      <c r="B24" s="21" t="s">
        <v>30</v>
      </c>
      <c r="C24" s="22" t="s">
        <v>27</v>
      </c>
    </row>
    <row r="25" spans="1:7" x14ac:dyDescent="0.3">
      <c r="B25" s="21" t="s">
        <v>31</v>
      </c>
      <c r="C25" s="22" t="s">
        <v>26</v>
      </c>
    </row>
    <row r="26" spans="1:7" x14ac:dyDescent="0.3">
      <c r="B26" s="21" t="s">
        <v>32</v>
      </c>
      <c r="C26" s="22" t="s">
        <v>41</v>
      </c>
    </row>
    <row r="27" spans="1:7" x14ac:dyDescent="0.3">
      <c r="B27" s="21" t="s">
        <v>33</v>
      </c>
      <c r="C27" s="22" t="s">
        <v>28</v>
      </c>
    </row>
  </sheetData>
  <mergeCells count="2">
    <mergeCell ref="A3:F3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Transport Optimization</vt:lpstr>
      <vt:lpstr>Profit Maximization</vt:lpstr>
      <vt:lpstr>Marks Optimization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Srajankumar Angadi</dc:creator>
  <cp:lastModifiedBy>Srajankumar Angadi</cp:lastModifiedBy>
  <dcterms:created xsi:type="dcterms:W3CDTF">2026-05-21T18:45:30Z</dcterms:created>
  <dcterms:modified xsi:type="dcterms:W3CDTF">2026-05-21T19:17:42Z</dcterms:modified>
</cp:coreProperties>
</file>