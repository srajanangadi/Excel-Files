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BA excel\record book\"/>
    </mc:Choice>
  </mc:AlternateContent>
  <xr:revisionPtr revIDLastSave="0" documentId="13_ncr:1_{ECC213AA-2B86-427F-A202-0802A7471E56}" xr6:coauthVersionLast="47" xr6:coauthVersionMax="47" xr10:uidLastSave="{00000000-0000-0000-0000-000000000000}"/>
  <bookViews>
    <workbookView xWindow="-108" yWindow="-108" windowWidth="23256" windowHeight="12456" activeTab="2" xr2:uid="{DC091C4A-15B1-4EAD-AD51-C087DE48FFF5}"/>
  </bookViews>
  <sheets>
    <sheet name="Profit Maximization" sheetId="1" r:id="rId1"/>
    <sheet name="Cost Minimization" sheetId="3" r:id="rId2"/>
    <sheet name="Cost Minization" sheetId="4" r:id="rId3"/>
  </sheets>
  <definedNames>
    <definedName name="_xlnm._FilterDatabase" localSheetId="1" hidden="1">'Cost Minimization'!$A$22:$A$22</definedName>
    <definedName name="_xlnm._FilterDatabase" localSheetId="0" hidden="1">'Profit Maximization'!$A$5:$B$13</definedName>
    <definedName name="solver_adj" localSheetId="1" hidden="1">'Cost Minimization'!$B$20:$C$20</definedName>
    <definedName name="solver_adj" localSheetId="2" hidden="1">'Cost Minization'!$F$19:$G$19</definedName>
    <definedName name="solver_adj" localSheetId="0" hidden="1">'Profit Maximization'!$H$19:$I$19</definedName>
    <definedName name="solver_cvg" localSheetId="1" hidden="1">0.0001</definedName>
    <definedName name="solver_cvg" localSheetId="2" hidden="1">0.0001</definedName>
    <definedName name="solver_cvg" localSheetId="0" hidden="1">0.0001</definedName>
    <definedName name="solver_drv" localSheetId="1" hidden="1">1</definedName>
    <definedName name="solver_drv" localSheetId="2" hidden="1">1</definedName>
    <definedName name="solver_drv" localSheetId="0" hidden="1">1</definedName>
    <definedName name="solver_eng" localSheetId="1" hidden="1">1</definedName>
    <definedName name="solver_eng" localSheetId="2" hidden="1">2</definedName>
    <definedName name="solver_eng" localSheetId="0" hidden="1">1</definedName>
    <definedName name="solver_est" localSheetId="1" hidden="1">1</definedName>
    <definedName name="solver_est" localSheetId="2" hidden="1">1</definedName>
    <definedName name="solver_est" localSheetId="0" hidden="1">1</definedName>
    <definedName name="solver_itr" localSheetId="1" hidden="1">2147483647</definedName>
    <definedName name="solver_itr" localSheetId="2" hidden="1">2147483647</definedName>
    <definedName name="solver_itr" localSheetId="0" hidden="1">2147483647</definedName>
    <definedName name="solver_lhs1" localSheetId="1" hidden="1">'Cost Minimization'!$B$20:$C$20</definedName>
    <definedName name="solver_lhs1" localSheetId="2" hidden="1">'Cost Minization'!$F$19</definedName>
    <definedName name="solver_lhs1" localSheetId="0" hidden="1">'Profit Maximization'!$J$16</definedName>
    <definedName name="solver_lhs2" localSheetId="1" hidden="1">'Cost Minimization'!$D$18</definedName>
    <definedName name="solver_lhs2" localSheetId="2" hidden="1">'Cost Minization'!$G$19</definedName>
    <definedName name="solver_lhs2" localSheetId="0" hidden="1">'Profit Maximization'!$J$17</definedName>
    <definedName name="solver_lhs3" localSheetId="1" hidden="1">'Cost Minimization'!$D$19</definedName>
    <definedName name="solver_lhs3" localSheetId="2" hidden="1">'Cost Minization'!$H$19</definedName>
    <definedName name="solver_lhs4" localSheetId="2" hidden="1">'Cost Minization'!$H$19</definedName>
    <definedName name="solver_lhs5" localSheetId="2" hidden="1">'Cost Minization'!$H$19</definedName>
    <definedName name="solver_mip" localSheetId="1" hidden="1">2147483647</definedName>
    <definedName name="solver_mip" localSheetId="2" hidden="1">2147483647</definedName>
    <definedName name="solver_mip" localSheetId="0" hidden="1">2147483647</definedName>
    <definedName name="solver_mni" localSheetId="1" hidden="1">30</definedName>
    <definedName name="solver_mni" localSheetId="2" hidden="1">30</definedName>
    <definedName name="solver_mni" localSheetId="0" hidden="1">30</definedName>
    <definedName name="solver_mrt" localSheetId="1" hidden="1">0.075</definedName>
    <definedName name="solver_mrt" localSheetId="2" hidden="1">0.075</definedName>
    <definedName name="solver_mrt" localSheetId="0" hidden="1">0.075</definedName>
    <definedName name="solver_msl" localSheetId="1" hidden="1">2</definedName>
    <definedName name="solver_msl" localSheetId="2" hidden="1">2</definedName>
    <definedName name="solver_msl" localSheetId="0" hidden="1">2</definedName>
    <definedName name="solver_neg" localSheetId="1" hidden="1">1</definedName>
    <definedName name="solver_neg" localSheetId="2" hidden="1">1</definedName>
    <definedName name="solver_neg" localSheetId="0" hidden="1">1</definedName>
    <definedName name="solver_nod" localSheetId="1" hidden="1">2147483647</definedName>
    <definedName name="solver_nod" localSheetId="2" hidden="1">2147483647</definedName>
    <definedName name="solver_nod" localSheetId="0" hidden="1">2147483647</definedName>
    <definedName name="solver_num" localSheetId="1" hidden="1">3</definedName>
    <definedName name="solver_num" localSheetId="2" hidden="1">3</definedName>
    <definedName name="solver_num" localSheetId="0" hidden="1">2</definedName>
    <definedName name="solver_nwt" localSheetId="1" hidden="1">1</definedName>
    <definedName name="solver_nwt" localSheetId="2" hidden="1">1</definedName>
    <definedName name="solver_nwt" localSheetId="0" hidden="1">1</definedName>
    <definedName name="solver_opt" localSheetId="1" hidden="1">'Cost Minimization'!$D$17</definedName>
    <definedName name="solver_opt" localSheetId="2" hidden="1">'Cost Minization'!$H$20</definedName>
    <definedName name="solver_opt" localSheetId="0" hidden="1">'Profit Maximization'!$J$18</definedName>
    <definedName name="solver_pre" localSheetId="1" hidden="1">0.000001</definedName>
    <definedName name="solver_pre" localSheetId="2" hidden="1">0.000001</definedName>
    <definedName name="solver_pre" localSheetId="0" hidden="1">0.000001</definedName>
    <definedName name="solver_rbv" localSheetId="1" hidden="1">1</definedName>
    <definedName name="solver_rbv" localSheetId="2" hidden="1">1</definedName>
    <definedName name="solver_rbv" localSheetId="0" hidden="1">1</definedName>
    <definedName name="solver_rel1" localSheetId="1" hidden="1">3</definedName>
    <definedName name="solver_rel1" localSheetId="2" hidden="1">3</definedName>
    <definedName name="solver_rel1" localSheetId="0" hidden="1">1</definedName>
    <definedName name="solver_rel2" localSheetId="1" hidden="1">3</definedName>
    <definedName name="solver_rel2" localSheetId="2" hidden="1">3</definedName>
    <definedName name="solver_rel2" localSheetId="0" hidden="1">1</definedName>
    <definedName name="solver_rel3" localSheetId="1" hidden="1">3</definedName>
    <definedName name="solver_rel3" localSheetId="2" hidden="1">3</definedName>
    <definedName name="solver_rel4" localSheetId="2" hidden="1">3</definedName>
    <definedName name="solver_rel5" localSheetId="2" hidden="1">3</definedName>
    <definedName name="solver_rhs1" localSheetId="1" hidden="1">1</definedName>
    <definedName name="solver_rhs1" localSheetId="2" hidden="1">'Cost Minization'!$F$21</definedName>
    <definedName name="solver_rhs1" localSheetId="0" hidden="1">'Profit Maximization'!$K$16</definedName>
    <definedName name="solver_rhs2" localSheetId="1" hidden="1">'Cost Minimization'!$E$18</definedName>
    <definedName name="solver_rhs2" localSheetId="2" hidden="1">'Cost Minization'!$G$21</definedName>
    <definedName name="solver_rhs2" localSheetId="0" hidden="1">'Profit Maximization'!$K$17</definedName>
    <definedName name="solver_rhs3" localSheetId="1" hidden="1">'Cost Minimization'!$E$19</definedName>
    <definedName name="solver_rhs3" localSheetId="2" hidden="1">'Cost Minization'!$H$21</definedName>
    <definedName name="solver_rhs4" localSheetId="2" hidden="1">30</definedName>
    <definedName name="solver_rhs5" localSheetId="2" hidden="1">30</definedName>
    <definedName name="solver_rlx" localSheetId="1" hidden="1">2</definedName>
    <definedName name="solver_rlx" localSheetId="2" hidden="1">2</definedName>
    <definedName name="solver_rlx" localSheetId="0" hidden="1">2</definedName>
    <definedName name="solver_rsd" localSheetId="1" hidden="1">0</definedName>
    <definedName name="solver_rsd" localSheetId="2" hidden="1">0</definedName>
    <definedName name="solver_rsd" localSheetId="0" hidden="1">0</definedName>
    <definedName name="solver_scl" localSheetId="1" hidden="1">1</definedName>
    <definedName name="solver_scl" localSheetId="2" hidden="1">1</definedName>
    <definedName name="solver_scl" localSheetId="0" hidden="1">1</definedName>
    <definedName name="solver_sho" localSheetId="1" hidden="1">2</definedName>
    <definedName name="solver_sho" localSheetId="2" hidden="1">2</definedName>
    <definedName name="solver_sho" localSheetId="0" hidden="1">2</definedName>
    <definedName name="solver_ssz" localSheetId="1" hidden="1">100</definedName>
    <definedName name="solver_ssz" localSheetId="2" hidden="1">100</definedName>
    <definedName name="solver_ssz" localSheetId="0" hidden="1">100</definedName>
    <definedName name="solver_tim" localSheetId="1" hidden="1">2147483647</definedName>
    <definedName name="solver_tim" localSheetId="2" hidden="1">2147483647</definedName>
    <definedName name="solver_tim" localSheetId="0" hidden="1">2147483647</definedName>
    <definedName name="solver_tol" localSheetId="1" hidden="1">0.01</definedName>
    <definedName name="solver_tol" localSheetId="2" hidden="1">0.01</definedName>
    <definedName name="solver_tol" localSheetId="0" hidden="1">0.01</definedName>
    <definedName name="solver_typ" localSheetId="1" hidden="1">2</definedName>
    <definedName name="solver_typ" localSheetId="2" hidden="1">2</definedName>
    <definedName name="solver_typ" localSheetId="0" hidden="1">1</definedName>
    <definedName name="solver_val" localSheetId="1" hidden="1">0</definedName>
    <definedName name="solver_val" localSheetId="2" hidden="1">0</definedName>
    <definedName name="solver_val" localSheetId="0" hidden="1">0</definedName>
    <definedName name="solver_ver" localSheetId="1" hidden="1">3</definedName>
    <definedName name="solver_ver" localSheetId="2" hidden="1">3</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4" l="1"/>
  <c r="C21" i="4"/>
  <c r="B21" i="4"/>
  <c r="D17" i="3"/>
  <c r="D19" i="3"/>
  <c r="D18" i="3"/>
  <c r="D18" i="1"/>
  <c r="D17" i="1"/>
  <c r="D16" i="1"/>
  <c r="D21" i="4" l="1"/>
</calcChain>
</file>

<file path=xl/sharedStrings.xml><?xml version="1.0" encoding="utf-8"?>
<sst xmlns="http://schemas.openxmlformats.org/spreadsheetml/2006/main" count="36" uniqueCount="32">
  <si>
    <t>Profit</t>
  </si>
  <si>
    <t>Total</t>
  </si>
  <si>
    <t>Total Capacity</t>
  </si>
  <si>
    <t>Resource 1</t>
  </si>
  <si>
    <t>Resource 2</t>
  </si>
  <si>
    <r>
      <t xml:space="preserve">Qty </t>
    </r>
    <r>
      <rPr>
        <b/>
        <sz val="10"/>
        <color theme="1"/>
        <rFont val="Calibri"/>
        <family val="2"/>
        <scheme val="minor"/>
      </rPr>
      <t>(Decision Variable)</t>
    </r>
  </si>
  <si>
    <t>Solution:</t>
  </si>
  <si>
    <t>Hence the factory has to produce 40 units of Product A and 50 units of Product B to maximise the Total Profit of $2600</t>
  </si>
  <si>
    <t>Food X</t>
  </si>
  <si>
    <t>Food Y</t>
  </si>
  <si>
    <t>Cost</t>
  </si>
  <si>
    <t>Protein</t>
  </si>
  <si>
    <t>Vitamin</t>
  </si>
  <si>
    <t>Diet atleast</t>
  </si>
  <si>
    <t>Qty</t>
  </si>
  <si>
    <t>Hence, by consuming 3 quantity of food X and 2 quantity of food Y we can ensure the minimum vitamin and protein of 12 and 18 units with minimum cost of $8.50.</t>
  </si>
  <si>
    <r>
      <rPr>
        <b/>
        <sz val="12"/>
        <color theme="1"/>
        <rFont val="Calibri"/>
        <family val="2"/>
        <scheme val="minor"/>
      </rPr>
      <t>Problem 3: Workforce Scheduling</t>
    </r>
    <r>
      <rPr>
        <sz val="12"/>
        <color theme="1"/>
        <rFont val="Calibri"/>
        <family val="2"/>
        <scheme val="minor"/>
      </rPr>
      <t xml:space="preserve">
A company needs to determine the number of workers to hire for two shifts: Day Shift and Night Shift. The company needs at least 30 workers in total. The day shift requires at least 10 workers and the night shift requires at least 12 workers. Workers on the day shift are paid $100 per day, and workers on the night shift are paid $120 per day.
</t>
    </r>
    <r>
      <rPr>
        <b/>
        <sz val="12"/>
        <color theme="1"/>
        <rFont val="Calibri"/>
        <family val="2"/>
        <scheme val="minor"/>
      </rPr>
      <t>Objective:</t>
    </r>
    <r>
      <rPr>
        <sz val="12"/>
        <color theme="1"/>
        <rFont val="Calibri"/>
        <family val="2"/>
        <scheme val="minor"/>
      </rPr>
      <t xml:space="preserve">
Minimize the total labor cost.
</t>
    </r>
    <r>
      <rPr>
        <b/>
        <sz val="12"/>
        <color theme="1"/>
        <rFont val="Calibri"/>
        <family val="2"/>
        <scheme val="minor"/>
      </rPr>
      <t xml:space="preserve">Constraints:
</t>
    </r>
    <r>
      <rPr>
        <sz val="12"/>
        <color theme="1"/>
        <rFont val="Calibri"/>
        <family val="2"/>
        <scheme val="minor"/>
      </rPr>
      <t xml:space="preserve">•	D + N ≥ 30 (Total workers)
•	D ≥ 10 (Day shift)
•	N ≥ 12 (Night shift)
•	D, N ≥ 0
</t>
    </r>
    <r>
      <rPr>
        <b/>
        <sz val="12"/>
        <color theme="1"/>
        <rFont val="Calibri"/>
        <family val="2"/>
        <scheme val="minor"/>
      </rPr>
      <t xml:space="preserve">Objective Function:
</t>
    </r>
    <r>
      <rPr>
        <sz val="12"/>
        <color theme="1"/>
        <rFont val="Calibri"/>
        <family val="2"/>
        <scheme val="minor"/>
      </rPr>
      <t>Minimize Cost = 100D + 120N</t>
    </r>
  </si>
  <si>
    <t>Solution :</t>
  </si>
  <si>
    <t>Day Shift</t>
  </si>
  <si>
    <t>Night Shift</t>
  </si>
  <si>
    <t>Total Workers Needed</t>
  </si>
  <si>
    <t>Number of Workers</t>
  </si>
  <si>
    <t>Wages/Day</t>
  </si>
  <si>
    <t>Minimum Number of Workers</t>
  </si>
  <si>
    <t>Total Cost</t>
  </si>
  <si>
    <t>Hence, the company to minimise the cost of labour i.e., $3240 with minimum of 10 workers working on Day Shift and 12 workers working on Night Shift needs to assign 18 workers on Day Shift and 12 workers on Night Shift.</t>
  </si>
  <si>
    <r>
      <rPr>
        <b/>
        <sz val="11"/>
        <color theme="1"/>
        <rFont val="Calibri"/>
        <family val="2"/>
        <scheme val="minor"/>
      </rPr>
      <t xml:space="preserve">Problem 2: Diet Problem
</t>
    </r>
    <r>
      <rPr>
        <sz val="11"/>
        <color theme="1"/>
        <rFont val="Calibri"/>
        <family val="2"/>
        <scheme val="minor"/>
      </rPr>
      <t xml:space="preserve">A dietitian is planning a diet that consists of two types of foods, Food X and Food Y. Each serving of Food X costs $1.50 and each serving of Food Y costs $2.00. Each serving of Food X provides 2 units of protein and 4 units of vitamins. Each serving of Food Y provides 3 units of protein and 3 units of vitamins. The dietitian wants to ensure that the diet provides at least 12 units of protein and 18 units of vitamins.
</t>
    </r>
    <r>
      <rPr>
        <b/>
        <sz val="11"/>
        <color theme="1"/>
        <rFont val="Calibri"/>
        <family val="2"/>
        <scheme val="minor"/>
      </rPr>
      <t xml:space="preserve">Objective:
</t>
    </r>
    <r>
      <rPr>
        <sz val="11"/>
        <color theme="1"/>
        <rFont val="Calibri"/>
        <family val="2"/>
        <scheme val="minor"/>
      </rPr>
      <t xml:space="preserve">Minimize the total cost of the diet.
</t>
    </r>
    <r>
      <rPr>
        <b/>
        <sz val="11"/>
        <color theme="1"/>
        <rFont val="Calibri"/>
        <family val="2"/>
        <scheme val="minor"/>
      </rPr>
      <t xml:space="preserve">Constraints:
</t>
    </r>
    <r>
      <rPr>
        <sz val="11"/>
        <color theme="1"/>
        <rFont val="Calibri"/>
        <family val="2"/>
        <scheme val="minor"/>
      </rPr>
      <t xml:space="preserve">•	2X + 3Y ≥ 12 (Protein)
•	4X + 3Y ≥ 18 (Vitamins)
•	X, Y ≥ 0
</t>
    </r>
    <r>
      <rPr>
        <b/>
        <sz val="11"/>
        <color theme="1"/>
        <rFont val="Calibri"/>
        <family val="2"/>
        <scheme val="minor"/>
      </rPr>
      <t xml:space="preserve">Objective Function:
</t>
    </r>
    <r>
      <rPr>
        <sz val="11"/>
        <color theme="1"/>
        <rFont val="Calibri"/>
        <family val="2"/>
        <scheme val="minor"/>
      </rPr>
      <t>Minimize Cost = 1.5X + 2Y</t>
    </r>
  </si>
  <si>
    <r>
      <rPr>
        <b/>
        <sz val="12"/>
        <color theme="1"/>
        <rFont val="Calibri"/>
        <family val="2"/>
        <scheme val="minor"/>
      </rPr>
      <t>Problem 1</t>
    </r>
    <r>
      <rPr>
        <sz val="12"/>
        <color theme="1"/>
        <rFont val="Calibri"/>
        <family val="2"/>
        <scheme val="minor"/>
      </rPr>
      <t xml:space="preserve">: </t>
    </r>
    <r>
      <rPr>
        <b/>
        <sz val="12"/>
        <color theme="1"/>
        <rFont val="Calibri"/>
        <family val="2"/>
        <scheme val="minor"/>
      </rPr>
      <t>Product Mix Optimization</t>
    </r>
    <r>
      <rPr>
        <sz val="12"/>
        <color theme="1"/>
        <rFont val="Calibri"/>
        <family val="2"/>
        <scheme val="minor"/>
      </rPr>
      <t xml:space="preserve"> 
A factory produces two products, A and B. The profit for each unit of Product A is $40, and the profit for each Product B is $50. Each product requires different amounts of two resources, Resource 1 and Resource 2. Product A requires 2 units of Resource 1 and 1 unit of Resource 2. Product B requires 1 unit of Resource 1 and 2 units of Resource 2. The factory has 100 units of Resource 1 and 80 units of Resource 2 available.
</t>
    </r>
    <r>
      <rPr>
        <b/>
        <sz val="12"/>
        <color theme="1"/>
        <rFont val="Calibri"/>
        <family val="2"/>
        <scheme val="minor"/>
      </rPr>
      <t>Objective:</t>
    </r>
    <r>
      <rPr>
        <sz val="12"/>
        <color theme="1"/>
        <rFont val="Calibri"/>
        <family val="2"/>
        <scheme val="minor"/>
      </rPr>
      <t xml:space="preserve">
Maximize the total profit.
</t>
    </r>
    <r>
      <rPr>
        <b/>
        <sz val="12"/>
        <color theme="1"/>
        <rFont val="Calibri"/>
        <family val="2"/>
        <scheme val="minor"/>
      </rPr>
      <t xml:space="preserve">Constraints:
</t>
    </r>
    <r>
      <rPr>
        <sz val="12"/>
        <color theme="1"/>
        <rFont val="Calibri"/>
        <family val="2"/>
        <scheme val="minor"/>
      </rPr>
      <t xml:space="preserve">•	2A + 1B ≤ 100 (Resource 1)
•	1A + 2B ≤ 80 (Resource 2)
•	A, B ≥ 0
</t>
    </r>
    <r>
      <rPr>
        <b/>
        <sz val="12"/>
        <color theme="1"/>
        <rFont val="Calibri"/>
        <family val="2"/>
        <scheme val="minor"/>
      </rPr>
      <t xml:space="preserve">Objective Function:
</t>
    </r>
    <r>
      <rPr>
        <sz val="12"/>
        <color theme="1"/>
        <rFont val="Calibri"/>
        <family val="2"/>
        <scheme val="minor"/>
      </rPr>
      <t>Maximize Profit = 40A + 50B</t>
    </r>
  </si>
  <si>
    <t>Product A</t>
  </si>
  <si>
    <t>Product B</t>
  </si>
  <si>
    <t>Conclusion:</t>
  </si>
  <si>
    <t>Capacity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</si>
</sst>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
    <numFmt numFmtId="165" formatCode="[$$-409]#,##0.00"/>
    <numFmt numFmtId="166" formatCode="[$$-1009]#,##0.00"/>
  </numFmts>
  <fonts count="8"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13"/>
      <color rgb="FF4F81BD"/>
      <name val="Calibri"/>
      <family val="2"/>
      <scheme val="minor"/>
    </font>
    <font>
      <b/>
      <sz val="12"/>
      <color theme="0"/>
      <name val="Calibri"/>
      <family val="2"/>
      <scheme val="minor"/>
    </font>
  </fonts>
  <fills count="15">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66FF66"/>
        <bgColor indexed="64"/>
      </patternFill>
    </fill>
    <fill>
      <patternFill patternType="solid">
        <fgColor rgb="FF33CC33"/>
        <bgColor indexed="64"/>
      </patternFill>
    </fill>
    <fill>
      <patternFill patternType="solid">
        <fgColor theme="8"/>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rgb="FF008000"/>
        <bgColor indexed="64"/>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0" borderId="0" xfId="0" applyFont="1"/>
    <xf numFmtId="0" fontId="3" fillId="2" borderId="1" xfId="0" applyFont="1" applyFill="1" applyBorder="1"/>
    <xf numFmtId="0" fontId="4" fillId="4" borderId="1" xfId="0" applyFont="1" applyFill="1" applyBorder="1"/>
    <xf numFmtId="0" fontId="3" fillId="3" borderId="1" xfId="0" applyFont="1" applyFill="1" applyBorder="1"/>
    <xf numFmtId="0" fontId="4" fillId="0" borderId="0" xfId="0" applyFont="1"/>
    <xf numFmtId="164" fontId="3" fillId="3" borderId="1" xfId="0" applyNumberFormat="1" applyFont="1" applyFill="1" applyBorder="1"/>
    <xf numFmtId="165" fontId="0" fillId="5" borderId="1" xfId="0" applyNumberFormat="1" applyFill="1" applyBorder="1"/>
    <xf numFmtId="0" fontId="0" fillId="5" borderId="1" xfId="0" applyFill="1" applyBorder="1"/>
    <xf numFmtId="0" fontId="0" fillId="7" borderId="1" xfId="0" applyFill="1" applyBorder="1"/>
    <xf numFmtId="0" fontId="2" fillId="6" borderId="1" xfId="0" applyFont="1" applyFill="1" applyBorder="1"/>
    <xf numFmtId="0" fontId="3"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8" borderId="1" xfId="0" applyFill="1" applyBorder="1"/>
    <xf numFmtId="0" fontId="2" fillId="9" borderId="1" xfId="0" applyFont="1" applyFill="1" applyBorder="1"/>
    <xf numFmtId="0" fontId="0" fillId="10" borderId="1" xfId="0" applyFill="1" applyBorder="1"/>
    <xf numFmtId="166" fontId="0" fillId="10" borderId="1" xfId="0" applyNumberFormat="1" applyFill="1" applyBorder="1"/>
    <xf numFmtId="0" fontId="6" fillId="0" borderId="0" xfId="0" applyFont="1" applyAlignment="1">
      <alignment horizontal="left" vertical="top" wrapText="1"/>
    </xf>
    <xf numFmtId="0" fontId="2" fillId="7" borderId="1" xfId="0" applyFont="1" applyFill="1" applyBorder="1" applyAlignment="1">
      <alignment horizontal="center"/>
    </xf>
    <xf numFmtId="0" fontId="2" fillId="8" borderId="1" xfId="0" applyFont="1" applyFill="1" applyBorder="1" applyAlignment="1">
      <alignment horizontal="center"/>
    </xf>
    <xf numFmtId="166" fontId="1" fillId="12" borderId="1" xfId="0" applyNumberFormat="1" applyFont="1" applyFill="1" applyBorder="1"/>
    <xf numFmtId="165" fontId="1" fillId="13" borderId="1" xfId="0" applyNumberFormat="1" applyFont="1" applyFill="1" applyBorder="1"/>
    <xf numFmtId="164" fontId="7" fillId="14" borderId="1" xfId="0" applyNumberFormat="1" applyFont="1" applyFill="1" applyBorder="1"/>
    <xf numFmtId="0" fontId="3" fillId="0" borderId="0" xfId="0" applyFont="1"/>
    <xf numFmtId="0" fontId="3" fillId="11" borderId="0" xfId="0" applyFont="1" applyFill="1" applyAlignment="1">
      <alignment horizontal="left" vertical="top" wrapText="1"/>
    </xf>
    <xf numFmtId="0" fontId="0" fillId="11" borderId="0" xfId="0" applyFill="1" applyAlignment="1">
      <alignment horizontal="left" vertical="top" wrapText="1"/>
    </xf>
    <xf numFmtId="0" fontId="0" fillId="0" borderId="0" xfId="0"/>
    <xf numFmtId="0" fontId="3" fillId="11" borderId="0" xfId="0" applyFont="1" applyFill="1" applyAlignment="1">
      <alignment vertical="top" wrapText="1"/>
    </xf>
    <xf numFmtId="0" fontId="7" fillId="2" borderId="1" xfId="0" applyFont="1" applyFill="1" applyBorder="1" applyAlignment="1">
      <alignment horizontal="center"/>
    </xf>
    <xf numFmtId="0" fontId="0" fillId="0" borderId="0" xfId="0" applyFill="1"/>
    <xf numFmtId="0" fontId="0" fillId="0" borderId="0" xfId="0" applyFill="1" applyBorder="1"/>
    <xf numFmtId="166" fontId="0" fillId="0" borderId="0" xfId="0" applyNumberFormat="1" applyFill="1" applyBorder="1"/>
    <xf numFmtId="166" fontId="0" fillId="0" borderId="0" xfId="0" applyNumberFormat="1"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008000"/>
      <color rgb="FF33CC33"/>
      <color rgb="FF66FF66"/>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11873B-BCCA-4891-89FB-1DD2A3BA2CE2}">
  <we:reference id="wa104100404" version="3.0.0.1" store="en-US" storeType="OMEX"/>
  <we:alternateReferences>
    <we:reference id="wa104100404" version="3.0.0.1" store="WA104100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70A8-D647-4265-8076-CBC25DD178E2}">
  <dimension ref="A1:T22"/>
  <sheetViews>
    <sheetView workbookViewId="0">
      <selection activeCell="B15" sqref="B15:E15"/>
    </sheetView>
  </sheetViews>
  <sheetFormatPr defaultRowHeight="14.4" x14ac:dyDescent="0.3"/>
  <cols>
    <col min="1" max="1" width="19.77734375" bestFit="1" customWidth="1"/>
    <col min="2" max="2" width="12.6640625" bestFit="1" customWidth="1"/>
    <col min="3" max="3" width="10.109375" bestFit="1" customWidth="1"/>
    <col min="4" max="4" width="14.21875" bestFit="1" customWidth="1"/>
    <col min="5" max="5" width="14.33203125" bestFit="1" customWidth="1"/>
  </cols>
  <sheetData>
    <row r="1" spans="1:20" x14ac:dyDescent="0.3">
      <c r="A1" s="25" t="s">
        <v>27</v>
      </c>
      <c r="B1" s="25"/>
      <c r="C1" s="25"/>
      <c r="D1" s="25"/>
      <c r="E1" s="25"/>
      <c r="F1" s="25"/>
      <c r="G1" s="25"/>
      <c r="H1" s="25"/>
      <c r="I1" s="25"/>
      <c r="J1" s="25"/>
      <c r="K1" s="25"/>
      <c r="L1" s="25"/>
      <c r="M1" s="25"/>
      <c r="N1" s="25"/>
      <c r="O1" s="25"/>
      <c r="P1" s="25"/>
      <c r="Q1" s="25"/>
      <c r="R1" s="25"/>
      <c r="S1" s="25"/>
      <c r="T1" s="25"/>
    </row>
    <row r="2" spans="1:20" x14ac:dyDescent="0.3">
      <c r="A2" s="25"/>
      <c r="B2" s="25"/>
      <c r="C2" s="25"/>
      <c r="D2" s="25"/>
      <c r="E2" s="25"/>
      <c r="F2" s="25"/>
      <c r="G2" s="25"/>
      <c r="H2" s="25"/>
      <c r="I2" s="25"/>
      <c r="J2" s="25"/>
      <c r="K2" s="25"/>
      <c r="L2" s="25"/>
      <c r="M2" s="25"/>
      <c r="N2" s="25"/>
      <c r="O2" s="25"/>
      <c r="P2" s="25"/>
      <c r="Q2" s="25"/>
      <c r="R2" s="25"/>
      <c r="S2" s="25"/>
      <c r="T2" s="25"/>
    </row>
    <row r="3" spans="1:20" ht="18.600000000000001" customHeight="1" x14ac:dyDescent="0.3">
      <c r="A3" s="25"/>
      <c r="B3" s="25"/>
      <c r="C3" s="25"/>
      <c r="D3" s="25"/>
      <c r="E3" s="25"/>
      <c r="F3" s="25"/>
      <c r="G3" s="25"/>
      <c r="H3" s="25"/>
      <c r="I3" s="25"/>
      <c r="J3" s="25"/>
      <c r="K3" s="25"/>
      <c r="L3" s="25"/>
      <c r="M3" s="25"/>
      <c r="N3" s="25"/>
      <c r="O3" s="25"/>
      <c r="P3" s="25"/>
      <c r="Q3" s="25"/>
      <c r="R3" s="25"/>
      <c r="S3" s="25"/>
      <c r="T3" s="25"/>
    </row>
    <row r="4" spans="1:20" ht="17.399999999999999" customHeight="1" x14ac:dyDescent="0.3">
      <c r="A4" s="25"/>
      <c r="B4" s="25"/>
      <c r="C4" s="25"/>
      <c r="D4" s="25"/>
      <c r="E4" s="25"/>
      <c r="F4" s="25"/>
      <c r="G4" s="25"/>
      <c r="H4" s="25"/>
      <c r="I4" s="25"/>
      <c r="J4" s="25"/>
      <c r="K4" s="25"/>
      <c r="L4" s="25"/>
      <c r="M4" s="25"/>
      <c r="N4" s="25"/>
      <c r="O4" s="25"/>
      <c r="P4" s="25"/>
      <c r="Q4" s="25"/>
      <c r="R4" s="25"/>
      <c r="S4" s="25"/>
      <c r="T4" s="25"/>
    </row>
    <row r="5" spans="1:20" ht="19.8" customHeight="1" x14ac:dyDescent="0.3">
      <c r="A5" s="25"/>
      <c r="B5" s="25"/>
      <c r="C5" s="25"/>
      <c r="D5" s="25"/>
      <c r="E5" s="25"/>
      <c r="F5" s="25"/>
      <c r="G5" s="25"/>
      <c r="H5" s="25"/>
      <c r="I5" s="25"/>
      <c r="J5" s="25"/>
      <c r="K5" s="25"/>
      <c r="L5" s="25"/>
      <c r="M5" s="25"/>
      <c r="N5" s="25"/>
      <c r="O5" s="25"/>
      <c r="P5" s="25"/>
      <c r="Q5" s="25"/>
      <c r="R5" s="25"/>
      <c r="S5" s="25"/>
      <c r="T5" s="25"/>
    </row>
    <row r="6" spans="1:20" ht="19.8" customHeight="1" x14ac:dyDescent="0.3">
      <c r="A6" s="25"/>
      <c r="B6" s="25"/>
      <c r="C6" s="25"/>
      <c r="D6" s="25"/>
      <c r="E6" s="25"/>
      <c r="F6" s="25"/>
      <c r="G6" s="25"/>
      <c r="H6" s="25"/>
      <c r="I6" s="25"/>
      <c r="J6" s="25"/>
      <c r="K6" s="25"/>
      <c r="L6" s="25"/>
      <c r="M6" s="25"/>
      <c r="N6" s="25"/>
      <c r="O6" s="25"/>
      <c r="P6" s="25"/>
      <c r="Q6" s="25"/>
      <c r="R6" s="25"/>
      <c r="S6" s="25"/>
      <c r="T6" s="25"/>
    </row>
    <row r="7" spans="1:20" ht="19.8" customHeight="1" x14ac:dyDescent="0.3">
      <c r="A7" s="25"/>
      <c r="B7" s="25"/>
      <c r="C7" s="25"/>
      <c r="D7" s="25"/>
      <c r="E7" s="25"/>
      <c r="F7" s="25"/>
      <c r="G7" s="25"/>
      <c r="H7" s="25"/>
      <c r="I7" s="25"/>
      <c r="J7" s="25"/>
      <c r="K7" s="25"/>
      <c r="L7" s="25"/>
      <c r="M7" s="25"/>
      <c r="N7" s="25"/>
      <c r="O7" s="25"/>
      <c r="P7" s="25"/>
      <c r="Q7" s="25"/>
      <c r="R7" s="25"/>
      <c r="S7" s="25"/>
      <c r="T7" s="25"/>
    </row>
    <row r="8" spans="1:20" ht="19.8" customHeight="1" x14ac:dyDescent="0.3">
      <c r="A8" s="25"/>
      <c r="B8" s="25"/>
      <c r="C8" s="25"/>
      <c r="D8" s="25"/>
      <c r="E8" s="25"/>
      <c r="F8" s="25"/>
      <c r="G8" s="25"/>
      <c r="H8" s="25"/>
      <c r="I8" s="25"/>
      <c r="J8" s="25"/>
      <c r="K8" s="25"/>
      <c r="L8" s="25"/>
      <c r="M8" s="25"/>
      <c r="N8" s="25"/>
      <c r="O8" s="25"/>
      <c r="P8" s="25"/>
      <c r="Q8" s="25"/>
      <c r="R8" s="25"/>
      <c r="S8" s="25"/>
      <c r="T8" s="25"/>
    </row>
    <row r="9" spans="1:20" ht="19.8" customHeight="1" x14ac:dyDescent="0.3">
      <c r="A9" s="25"/>
      <c r="B9" s="25"/>
      <c r="C9" s="25"/>
      <c r="D9" s="25"/>
      <c r="E9" s="25"/>
      <c r="F9" s="25"/>
      <c r="G9" s="25"/>
      <c r="H9" s="25"/>
      <c r="I9" s="25"/>
      <c r="J9" s="25"/>
      <c r="K9" s="25"/>
      <c r="L9" s="25"/>
      <c r="M9" s="25"/>
      <c r="N9" s="25"/>
      <c r="O9" s="25"/>
      <c r="P9" s="25"/>
      <c r="Q9" s="25"/>
      <c r="R9" s="25"/>
      <c r="S9" s="25"/>
      <c r="T9" s="25"/>
    </row>
    <row r="10" spans="1:20" ht="19.8" customHeight="1" x14ac:dyDescent="0.3">
      <c r="A10" s="25"/>
      <c r="B10" s="25"/>
      <c r="C10" s="25"/>
      <c r="D10" s="25"/>
      <c r="E10" s="25"/>
      <c r="F10" s="25"/>
      <c r="G10" s="25"/>
      <c r="H10" s="25"/>
      <c r="I10" s="25"/>
      <c r="J10" s="25"/>
      <c r="K10" s="25"/>
      <c r="L10" s="25"/>
      <c r="M10" s="25"/>
      <c r="N10" s="25"/>
      <c r="O10" s="25"/>
      <c r="P10" s="25"/>
      <c r="Q10" s="25"/>
      <c r="R10" s="25"/>
      <c r="S10" s="25"/>
      <c r="T10" s="25"/>
    </row>
    <row r="11" spans="1:20" ht="15.6" customHeight="1" x14ac:dyDescent="0.3">
      <c r="A11" s="18"/>
      <c r="B11" s="18"/>
    </row>
    <row r="12" spans="1:20" ht="15.6" customHeight="1" x14ac:dyDescent="0.3">
      <c r="A12" s="18"/>
      <c r="B12" s="18"/>
    </row>
    <row r="13" spans="1:20" ht="15.6" x14ac:dyDescent="0.3">
      <c r="A13" s="5" t="s">
        <v>6</v>
      </c>
    </row>
    <row r="15" spans="1:20" ht="15.6" x14ac:dyDescent="0.3">
      <c r="A15" s="2"/>
      <c r="B15" s="29" t="s">
        <v>28</v>
      </c>
      <c r="C15" s="29" t="s">
        <v>29</v>
      </c>
      <c r="D15" s="29" t="s">
        <v>31</v>
      </c>
      <c r="E15" s="29" t="s">
        <v>2</v>
      </c>
    </row>
    <row r="16" spans="1:20" ht="15.6" x14ac:dyDescent="0.3">
      <c r="A16" s="3" t="s">
        <v>3</v>
      </c>
      <c r="B16" s="4">
        <v>2</v>
      </c>
      <c r="C16" s="4">
        <v>1</v>
      </c>
      <c r="D16" s="4">
        <f>B16*B19+C16*C19</f>
        <v>100.00000000000001</v>
      </c>
      <c r="E16" s="4">
        <v>100</v>
      </c>
    </row>
    <row r="17" spans="1:11" ht="15.6" x14ac:dyDescent="0.3">
      <c r="A17" s="3" t="s">
        <v>4</v>
      </c>
      <c r="B17" s="4">
        <v>1</v>
      </c>
      <c r="C17" s="4">
        <v>2</v>
      </c>
      <c r="D17" s="4">
        <f>B17*B19+C17*C19</f>
        <v>80</v>
      </c>
      <c r="E17" s="4">
        <v>80</v>
      </c>
    </row>
    <row r="18" spans="1:11" ht="15.6" x14ac:dyDescent="0.3">
      <c r="A18" s="3" t="s">
        <v>0</v>
      </c>
      <c r="B18" s="6">
        <v>40</v>
      </c>
      <c r="C18" s="6">
        <v>50</v>
      </c>
      <c r="D18" s="23">
        <f>B18*B19+C18*C19</f>
        <v>2600</v>
      </c>
      <c r="E18" s="4"/>
    </row>
    <row r="19" spans="1:11" ht="15.6" x14ac:dyDescent="0.3">
      <c r="A19" s="3" t="s">
        <v>5</v>
      </c>
      <c r="B19" s="4">
        <v>40.000000000000014</v>
      </c>
      <c r="C19" s="4">
        <v>19.999999999999989</v>
      </c>
      <c r="D19" s="4"/>
      <c r="E19" s="4"/>
    </row>
    <row r="21" spans="1:11" x14ac:dyDescent="0.3">
      <c r="A21" s="1" t="s">
        <v>30</v>
      </c>
    </row>
    <row r="22" spans="1:11" ht="15.6" x14ac:dyDescent="0.3">
      <c r="A22" s="24" t="s">
        <v>7</v>
      </c>
      <c r="B22" s="24"/>
      <c r="C22" s="24"/>
      <c r="D22" s="24"/>
      <c r="E22" s="24"/>
      <c r="F22" s="24"/>
      <c r="G22" s="24"/>
      <c r="H22" s="24"/>
      <c r="I22" s="24"/>
      <c r="J22" s="24"/>
      <c r="K22" s="24"/>
    </row>
  </sheetData>
  <mergeCells count="2">
    <mergeCell ref="A22:K22"/>
    <mergeCell ref="A1:T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6A79-58CE-4D11-8F70-4941A295848B}">
  <dimension ref="A1:T22"/>
  <sheetViews>
    <sheetView zoomScale="111" workbookViewId="0">
      <selection activeCell="D17" sqref="D17"/>
    </sheetView>
  </sheetViews>
  <sheetFormatPr defaultRowHeight="14.4" x14ac:dyDescent="0.3"/>
  <cols>
    <col min="1" max="1" width="10.77734375" bestFit="1" customWidth="1"/>
    <col min="5" max="5" width="10.5546875" bestFit="1" customWidth="1"/>
  </cols>
  <sheetData>
    <row r="1" spans="1:20" ht="15.6" customHeight="1" x14ac:dyDescent="0.3">
      <c r="A1" s="26" t="s">
        <v>26</v>
      </c>
      <c r="B1" s="26"/>
      <c r="C1" s="26"/>
      <c r="D1" s="26"/>
      <c r="E1" s="26"/>
      <c r="F1" s="26"/>
      <c r="G1" s="26"/>
      <c r="H1" s="26"/>
      <c r="I1" s="26"/>
      <c r="J1" s="26"/>
      <c r="K1" s="26"/>
      <c r="L1" s="26"/>
      <c r="M1" s="26"/>
      <c r="N1" s="26"/>
      <c r="O1" s="26"/>
      <c r="P1" s="26"/>
      <c r="Q1" s="26"/>
      <c r="R1" s="26"/>
      <c r="S1" s="26"/>
      <c r="T1" s="26"/>
    </row>
    <row r="2" spans="1:20" x14ac:dyDescent="0.3">
      <c r="A2" s="26"/>
      <c r="B2" s="26"/>
      <c r="C2" s="26"/>
      <c r="D2" s="26"/>
      <c r="E2" s="26"/>
      <c r="F2" s="26"/>
      <c r="G2" s="26"/>
      <c r="H2" s="26"/>
      <c r="I2" s="26"/>
      <c r="J2" s="26"/>
      <c r="K2" s="26"/>
      <c r="L2" s="26"/>
      <c r="M2" s="26"/>
      <c r="N2" s="26"/>
      <c r="O2" s="26"/>
      <c r="P2" s="26"/>
      <c r="Q2" s="26"/>
      <c r="R2" s="26"/>
      <c r="S2" s="26"/>
      <c r="T2" s="26"/>
    </row>
    <row r="3" spans="1:20" x14ac:dyDescent="0.3">
      <c r="A3" s="26"/>
      <c r="B3" s="26"/>
      <c r="C3" s="26"/>
      <c r="D3" s="26"/>
      <c r="E3" s="26"/>
      <c r="F3" s="26"/>
      <c r="G3" s="26"/>
      <c r="H3" s="26"/>
      <c r="I3" s="26"/>
      <c r="J3" s="26"/>
      <c r="K3" s="26"/>
      <c r="L3" s="26"/>
      <c r="M3" s="26"/>
      <c r="N3" s="26"/>
      <c r="O3" s="26"/>
      <c r="P3" s="26"/>
      <c r="Q3" s="26"/>
      <c r="R3" s="26"/>
      <c r="S3" s="26"/>
      <c r="T3" s="26"/>
    </row>
    <row r="4" spans="1:20" x14ac:dyDescent="0.3">
      <c r="A4" s="26"/>
      <c r="B4" s="26"/>
      <c r="C4" s="26"/>
      <c r="D4" s="26"/>
      <c r="E4" s="26"/>
      <c r="F4" s="26"/>
      <c r="G4" s="26"/>
      <c r="H4" s="26"/>
      <c r="I4" s="26"/>
      <c r="J4" s="26"/>
      <c r="K4" s="26"/>
      <c r="L4" s="26"/>
      <c r="M4" s="26"/>
      <c r="N4" s="26"/>
      <c r="O4" s="26"/>
      <c r="P4" s="26"/>
      <c r="Q4" s="26"/>
      <c r="R4" s="26"/>
      <c r="S4" s="26"/>
      <c r="T4" s="26"/>
    </row>
    <row r="5" spans="1:20" x14ac:dyDescent="0.3">
      <c r="A5" s="26"/>
      <c r="B5" s="26"/>
      <c r="C5" s="26"/>
      <c r="D5" s="26"/>
      <c r="E5" s="26"/>
      <c r="F5" s="26"/>
      <c r="G5" s="26"/>
      <c r="H5" s="26"/>
      <c r="I5" s="26"/>
      <c r="J5" s="26"/>
      <c r="K5" s="26"/>
      <c r="L5" s="26"/>
      <c r="M5" s="26"/>
      <c r="N5" s="26"/>
      <c r="O5" s="26"/>
      <c r="P5" s="26"/>
      <c r="Q5" s="26"/>
      <c r="R5" s="26"/>
      <c r="S5" s="26"/>
      <c r="T5" s="26"/>
    </row>
    <row r="6" spans="1:20" x14ac:dyDescent="0.3">
      <c r="A6" s="26"/>
      <c r="B6" s="26"/>
      <c r="C6" s="26"/>
      <c r="D6" s="26"/>
      <c r="E6" s="26"/>
      <c r="F6" s="26"/>
      <c r="G6" s="26"/>
      <c r="H6" s="26"/>
      <c r="I6" s="26"/>
      <c r="J6" s="26"/>
      <c r="K6" s="26"/>
      <c r="L6" s="26"/>
      <c r="M6" s="26"/>
      <c r="N6" s="26"/>
      <c r="O6" s="26"/>
      <c r="P6" s="26"/>
      <c r="Q6" s="26"/>
      <c r="R6" s="26"/>
      <c r="S6" s="26"/>
      <c r="T6" s="26"/>
    </row>
    <row r="7" spans="1:20" x14ac:dyDescent="0.3">
      <c r="A7" s="26"/>
      <c r="B7" s="26"/>
      <c r="C7" s="26"/>
      <c r="D7" s="26"/>
      <c r="E7" s="26"/>
      <c r="F7" s="26"/>
      <c r="G7" s="26"/>
      <c r="H7" s="26"/>
      <c r="I7" s="26"/>
      <c r="J7" s="26"/>
      <c r="K7" s="26"/>
      <c r="L7" s="26"/>
      <c r="M7" s="26"/>
      <c r="N7" s="26"/>
      <c r="O7" s="26"/>
      <c r="P7" s="26"/>
      <c r="Q7" s="26"/>
      <c r="R7" s="26"/>
      <c r="S7" s="26"/>
      <c r="T7" s="26"/>
    </row>
    <row r="8" spans="1:20" x14ac:dyDescent="0.3">
      <c r="A8" s="26"/>
      <c r="B8" s="26"/>
      <c r="C8" s="26"/>
      <c r="D8" s="26"/>
      <c r="E8" s="26"/>
      <c r="F8" s="26"/>
      <c r="G8" s="26"/>
      <c r="H8" s="26"/>
      <c r="I8" s="26"/>
      <c r="J8" s="26"/>
      <c r="K8" s="26"/>
      <c r="L8" s="26"/>
      <c r="M8" s="26"/>
      <c r="N8" s="26"/>
      <c r="O8" s="26"/>
      <c r="P8" s="26"/>
      <c r="Q8" s="26"/>
      <c r="R8" s="26"/>
      <c r="S8" s="26"/>
      <c r="T8" s="26"/>
    </row>
    <row r="9" spans="1:20" x14ac:dyDescent="0.3">
      <c r="A9" s="26"/>
      <c r="B9" s="26"/>
      <c r="C9" s="26"/>
      <c r="D9" s="26"/>
      <c r="E9" s="26"/>
      <c r="F9" s="26"/>
      <c r="G9" s="26"/>
      <c r="H9" s="26"/>
      <c r="I9" s="26"/>
      <c r="J9" s="26"/>
      <c r="K9" s="26"/>
      <c r="L9" s="26"/>
      <c r="M9" s="26"/>
      <c r="N9" s="26"/>
      <c r="O9" s="26"/>
      <c r="P9" s="26"/>
      <c r="Q9" s="26"/>
      <c r="R9" s="26"/>
      <c r="S9" s="26"/>
      <c r="T9" s="26"/>
    </row>
    <row r="10" spans="1:20" x14ac:dyDescent="0.3">
      <c r="A10" s="26"/>
      <c r="B10" s="26"/>
      <c r="C10" s="26"/>
      <c r="D10" s="26"/>
      <c r="E10" s="26"/>
      <c r="F10" s="26"/>
      <c r="G10" s="26"/>
      <c r="H10" s="26"/>
      <c r="I10" s="26"/>
      <c r="J10" s="26"/>
      <c r="K10" s="26"/>
      <c r="L10" s="26"/>
      <c r="M10" s="26"/>
      <c r="N10" s="26"/>
      <c r="O10" s="26"/>
      <c r="P10" s="26"/>
      <c r="Q10" s="26"/>
      <c r="R10" s="26"/>
      <c r="S10" s="26"/>
      <c r="T10" s="26"/>
    </row>
    <row r="11" spans="1:20" x14ac:dyDescent="0.3">
      <c r="A11" s="26"/>
      <c r="B11" s="26"/>
      <c r="C11" s="26"/>
      <c r="D11" s="26"/>
      <c r="E11" s="26"/>
      <c r="F11" s="26"/>
      <c r="G11" s="26"/>
      <c r="H11" s="26"/>
      <c r="I11" s="26"/>
      <c r="J11" s="26"/>
      <c r="K11" s="26"/>
      <c r="L11" s="26"/>
      <c r="M11" s="26"/>
      <c r="N11" s="26"/>
      <c r="O11" s="26"/>
      <c r="P11" s="26"/>
      <c r="Q11" s="26"/>
      <c r="R11" s="26"/>
      <c r="S11" s="26"/>
      <c r="T11" s="26"/>
    </row>
    <row r="12" spans="1:20" x14ac:dyDescent="0.3">
      <c r="A12" s="26"/>
      <c r="B12" s="26"/>
      <c r="C12" s="26"/>
      <c r="D12" s="26"/>
      <c r="E12" s="26"/>
      <c r="F12" s="26"/>
      <c r="G12" s="26"/>
      <c r="H12" s="26"/>
      <c r="I12" s="26"/>
      <c r="J12" s="26"/>
      <c r="K12" s="26"/>
      <c r="L12" s="26"/>
      <c r="M12" s="26"/>
      <c r="N12" s="26"/>
      <c r="O12" s="26"/>
      <c r="P12" s="26"/>
      <c r="Q12" s="26"/>
      <c r="R12" s="26"/>
      <c r="S12" s="26"/>
      <c r="T12" s="26"/>
    </row>
    <row r="14" spans="1:20" x14ac:dyDescent="0.3">
      <c r="A14" s="1" t="s">
        <v>6</v>
      </c>
    </row>
    <row r="16" spans="1:20" x14ac:dyDescent="0.3">
      <c r="A16" s="9"/>
      <c r="B16" s="19" t="s">
        <v>8</v>
      </c>
      <c r="C16" s="19" t="s">
        <v>9</v>
      </c>
      <c r="D16" s="19" t="s">
        <v>1</v>
      </c>
      <c r="E16" s="19" t="s">
        <v>13</v>
      </c>
    </row>
    <row r="17" spans="1:16" x14ac:dyDescent="0.3">
      <c r="A17" s="10" t="s">
        <v>10</v>
      </c>
      <c r="B17" s="7">
        <v>1.5</v>
      </c>
      <c r="C17" s="7">
        <v>2</v>
      </c>
      <c r="D17" s="22">
        <f>B17*B20+C17*C20</f>
        <v>8.5</v>
      </c>
      <c r="E17" s="8"/>
    </row>
    <row r="18" spans="1:16" x14ac:dyDescent="0.3">
      <c r="A18" s="10" t="s">
        <v>11</v>
      </c>
      <c r="B18" s="8">
        <v>2</v>
      </c>
      <c r="C18" s="8">
        <v>3</v>
      </c>
      <c r="D18" s="8">
        <f>B18*B20+C18*C20</f>
        <v>12</v>
      </c>
      <c r="E18" s="8">
        <v>12</v>
      </c>
    </row>
    <row r="19" spans="1:16" x14ac:dyDescent="0.3">
      <c r="A19" s="10" t="s">
        <v>12</v>
      </c>
      <c r="B19" s="8">
        <v>4</v>
      </c>
      <c r="C19" s="8">
        <v>3</v>
      </c>
      <c r="D19" s="8">
        <f>B19*B20+C19*C20</f>
        <v>17.999999999999996</v>
      </c>
      <c r="E19" s="8">
        <v>18</v>
      </c>
    </row>
    <row r="20" spans="1:16" x14ac:dyDescent="0.3">
      <c r="A20" s="10" t="s">
        <v>14</v>
      </c>
      <c r="B20" s="8">
        <v>2.9999999999999987</v>
      </c>
      <c r="C20" s="8">
        <v>2.0000000000000009</v>
      </c>
      <c r="D20" s="8"/>
      <c r="E20" s="8"/>
    </row>
    <row r="21" spans="1:16" x14ac:dyDescent="0.3">
      <c r="A21" s="1" t="s">
        <v>30</v>
      </c>
    </row>
    <row r="22" spans="1:16" x14ac:dyDescent="0.3">
      <c r="A22" s="27" t="s">
        <v>15</v>
      </c>
      <c r="B22" s="27"/>
      <c r="C22" s="27"/>
      <c r="D22" s="27"/>
      <c r="E22" s="27"/>
      <c r="F22" s="27"/>
      <c r="G22" s="27"/>
      <c r="H22" s="27"/>
      <c r="I22" s="27"/>
      <c r="J22" s="27"/>
      <c r="K22" s="27"/>
      <c r="L22" s="27"/>
      <c r="M22" s="27"/>
      <c r="N22" s="27"/>
      <c r="O22" s="27"/>
      <c r="P22" s="27"/>
    </row>
  </sheetData>
  <mergeCells count="2">
    <mergeCell ref="A1:T12"/>
    <mergeCell ref="A22:P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D181-6BB3-45DB-9594-D5F8CA66F109}">
  <dimension ref="A1:W26"/>
  <sheetViews>
    <sheetView tabSelected="1" topLeftCell="A7" zoomScale="108" workbookViewId="0">
      <selection activeCell="G21" sqref="G21"/>
    </sheetView>
  </sheetViews>
  <sheetFormatPr defaultRowHeight="14.4" x14ac:dyDescent="0.3"/>
  <cols>
    <col min="1" max="1" width="27.21875" bestFit="1" customWidth="1"/>
    <col min="2" max="2" width="9.109375" bestFit="1" customWidth="1"/>
    <col min="3" max="3" width="10" bestFit="1" customWidth="1"/>
    <col min="4" max="4" width="9.109375" bestFit="1" customWidth="1"/>
    <col min="8" max="8" width="9.109375" bestFit="1" customWidth="1"/>
  </cols>
  <sheetData>
    <row r="1" spans="1:23" ht="14.4" customHeight="1" x14ac:dyDescent="0.3">
      <c r="A1" s="28" t="s">
        <v>16</v>
      </c>
      <c r="B1" s="28"/>
      <c r="C1" s="28"/>
      <c r="D1" s="28"/>
      <c r="E1" s="28"/>
      <c r="F1" s="28"/>
      <c r="G1" s="28"/>
      <c r="H1" s="28"/>
      <c r="I1" s="28"/>
      <c r="J1" s="28"/>
      <c r="K1" s="28"/>
      <c r="L1" s="28"/>
      <c r="M1" s="28"/>
      <c r="N1" s="28"/>
      <c r="O1" s="28"/>
      <c r="P1" s="28"/>
      <c r="Q1" s="28"/>
      <c r="R1" s="11"/>
      <c r="S1" s="11"/>
      <c r="T1" s="11"/>
      <c r="U1" s="11"/>
      <c r="V1" s="11"/>
      <c r="W1" s="12"/>
    </row>
    <row r="2" spans="1:23" ht="14.4" customHeight="1" x14ac:dyDescent="0.3">
      <c r="A2" s="28"/>
      <c r="B2" s="28"/>
      <c r="C2" s="28"/>
      <c r="D2" s="28"/>
      <c r="E2" s="28"/>
      <c r="F2" s="28"/>
      <c r="G2" s="28"/>
      <c r="H2" s="28"/>
      <c r="I2" s="28"/>
      <c r="J2" s="28"/>
      <c r="K2" s="28"/>
      <c r="L2" s="28"/>
      <c r="M2" s="28"/>
      <c r="N2" s="28"/>
      <c r="O2" s="28"/>
      <c r="P2" s="28"/>
      <c r="Q2" s="28"/>
      <c r="R2" s="11"/>
      <c r="S2" s="11"/>
      <c r="T2" s="11"/>
      <c r="U2" s="11"/>
      <c r="V2" s="11"/>
      <c r="W2" s="12"/>
    </row>
    <row r="3" spans="1:23" ht="14.4" customHeight="1" x14ac:dyDescent="0.3">
      <c r="A3" s="28"/>
      <c r="B3" s="28"/>
      <c r="C3" s="28"/>
      <c r="D3" s="28"/>
      <c r="E3" s="28"/>
      <c r="F3" s="28"/>
      <c r="G3" s="28"/>
      <c r="H3" s="28"/>
      <c r="I3" s="28"/>
      <c r="J3" s="28"/>
      <c r="K3" s="28"/>
      <c r="L3" s="28"/>
      <c r="M3" s="28"/>
      <c r="N3" s="28"/>
      <c r="O3" s="28"/>
      <c r="P3" s="28"/>
      <c r="Q3" s="28"/>
      <c r="R3" s="11"/>
      <c r="S3" s="11"/>
      <c r="T3" s="11"/>
      <c r="U3" s="11"/>
      <c r="V3" s="11"/>
      <c r="W3" s="12"/>
    </row>
    <row r="4" spans="1:23" ht="14.4" customHeight="1" x14ac:dyDescent="0.3">
      <c r="A4" s="28"/>
      <c r="B4" s="28"/>
      <c r="C4" s="28"/>
      <c r="D4" s="28"/>
      <c r="E4" s="28"/>
      <c r="F4" s="28"/>
      <c r="G4" s="28"/>
      <c r="H4" s="28"/>
      <c r="I4" s="28"/>
      <c r="J4" s="28"/>
      <c r="K4" s="28"/>
      <c r="L4" s="28"/>
      <c r="M4" s="28"/>
      <c r="N4" s="28"/>
      <c r="O4" s="28"/>
      <c r="P4" s="28"/>
      <c r="Q4" s="28"/>
      <c r="R4" s="11"/>
      <c r="S4" s="11"/>
      <c r="T4" s="11"/>
      <c r="U4" s="11"/>
      <c r="V4" s="11"/>
      <c r="W4" s="12"/>
    </row>
    <row r="5" spans="1:23" ht="14.4" customHeight="1" x14ac:dyDescent="0.3">
      <c r="A5" s="28"/>
      <c r="B5" s="28"/>
      <c r="C5" s="28"/>
      <c r="D5" s="28"/>
      <c r="E5" s="28"/>
      <c r="F5" s="28"/>
      <c r="G5" s="28"/>
      <c r="H5" s="28"/>
      <c r="I5" s="28"/>
      <c r="J5" s="28"/>
      <c r="K5" s="28"/>
      <c r="L5" s="28"/>
      <c r="M5" s="28"/>
      <c r="N5" s="28"/>
      <c r="O5" s="28"/>
      <c r="P5" s="28"/>
      <c r="Q5" s="28"/>
      <c r="R5" s="11"/>
      <c r="S5" s="11"/>
      <c r="T5" s="11"/>
      <c r="U5" s="11"/>
      <c r="V5" s="11"/>
      <c r="W5" s="12"/>
    </row>
    <row r="6" spans="1:23" ht="14.4" customHeight="1" x14ac:dyDescent="0.3">
      <c r="A6" s="28"/>
      <c r="B6" s="28"/>
      <c r="C6" s="28"/>
      <c r="D6" s="28"/>
      <c r="E6" s="28"/>
      <c r="F6" s="28"/>
      <c r="G6" s="28"/>
      <c r="H6" s="28"/>
      <c r="I6" s="28"/>
      <c r="J6" s="28"/>
      <c r="K6" s="28"/>
      <c r="L6" s="28"/>
      <c r="M6" s="28"/>
      <c r="N6" s="28"/>
      <c r="O6" s="28"/>
      <c r="P6" s="28"/>
      <c r="Q6" s="28"/>
      <c r="R6" s="11"/>
      <c r="S6" s="11"/>
      <c r="T6" s="11"/>
      <c r="U6" s="11"/>
      <c r="V6" s="11"/>
      <c r="W6" s="12"/>
    </row>
    <row r="7" spans="1:23" ht="14.4" customHeight="1" x14ac:dyDescent="0.3">
      <c r="A7" s="28"/>
      <c r="B7" s="28"/>
      <c r="C7" s="28"/>
      <c r="D7" s="28"/>
      <c r="E7" s="28"/>
      <c r="F7" s="28"/>
      <c r="G7" s="28"/>
      <c r="H7" s="28"/>
      <c r="I7" s="28"/>
      <c r="J7" s="28"/>
      <c r="K7" s="28"/>
      <c r="L7" s="28"/>
      <c r="M7" s="28"/>
      <c r="N7" s="28"/>
      <c r="O7" s="28"/>
      <c r="P7" s="28"/>
      <c r="Q7" s="28"/>
      <c r="R7" s="11"/>
      <c r="S7" s="11"/>
      <c r="T7" s="11"/>
      <c r="U7" s="11"/>
      <c r="V7" s="11"/>
      <c r="W7" s="12"/>
    </row>
    <row r="8" spans="1:23" ht="14.4" customHeight="1" x14ac:dyDescent="0.3">
      <c r="A8" s="28"/>
      <c r="B8" s="28"/>
      <c r="C8" s="28"/>
      <c r="D8" s="28"/>
      <c r="E8" s="28"/>
      <c r="F8" s="28"/>
      <c r="G8" s="28"/>
      <c r="H8" s="28"/>
      <c r="I8" s="28"/>
      <c r="J8" s="28"/>
      <c r="K8" s="28"/>
      <c r="L8" s="28"/>
      <c r="M8" s="28"/>
      <c r="N8" s="28"/>
      <c r="O8" s="28"/>
      <c r="P8" s="28"/>
      <c r="Q8" s="28"/>
      <c r="R8" s="11"/>
      <c r="S8" s="11"/>
      <c r="T8" s="11"/>
      <c r="U8" s="11"/>
      <c r="V8" s="11"/>
      <c r="W8" s="12"/>
    </row>
    <row r="9" spans="1:23" ht="14.4" customHeight="1" x14ac:dyDescent="0.3">
      <c r="A9" s="28"/>
      <c r="B9" s="28"/>
      <c r="C9" s="28"/>
      <c r="D9" s="28"/>
      <c r="E9" s="28"/>
      <c r="F9" s="28"/>
      <c r="G9" s="28"/>
      <c r="H9" s="28"/>
      <c r="I9" s="28"/>
      <c r="J9" s="28"/>
      <c r="K9" s="28"/>
      <c r="L9" s="28"/>
      <c r="M9" s="28"/>
      <c r="N9" s="28"/>
      <c r="O9" s="28"/>
      <c r="P9" s="28"/>
      <c r="Q9" s="28"/>
      <c r="R9" s="11"/>
      <c r="S9" s="11"/>
      <c r="T9" s="11"/>
      <c r="U9" s="11"/>
      <c r="V9" s="11"/>
      <c r="W9" s="12"/>
    </row>
    <row r="10" spans="1:23" ht="14.4" customHeight="1" x14ac:dyDescent="0.3">
      <c r="A10" s="28"/>
      <c r="B10" s="28"/>
      <c r="C10" s="28"/>
      <c r="D10" s="28"/>
      <c r="E10" s="28"/>
      <c r="F10" s="28"/>
      <c r="G10" s="28"/>
      <c r="H10" s="28"/>
      <c r="I10" s="28"/>
      <c r="J10" s="28"/>
      <c r="K10" s="28"/>
      <c r="L10" s="28"/>
      <c r="M10" s="28"/>
      <c r="N10" s="28"/>
      <c r="O10" s="28"/>
      <c r="P10" s="28"/>
      <c r="Q10" s="28"/>
      <c r="R10" s="11"/>
      <c r="S10" s="11"/>
      <c r="T10" s="11"/>
      <c r="U10" s="11"/>
      <c r="V10" s="11"/>
      <c r="W10" s="12"/>
    </row>
    <row r="11" spans="1:23" ht="14.4" customHeight="1" x14ac:dyDescent="0.3">
      <c r="A11" s="28"/>
      <c r="B11" s="28"/>
      <c r="C11" s="28"/>
      <c r="D11" s="28"/>
      <c r="E11" s="28"/>
      <c r="F11" s="28"/>
      <c r="G11" s="28"/>
      <c r="H11" s="28"/>
      <c r="I11" s="28"/>
      <c r="J11" s="28"/>
      <c r="K11" s="28"/>
      <c r="L11" s="28"/>
      <c r="M11" s="28"/>
      <c r="N11" s="28"/>
      <c r="O11" s="28"/>
      <c r="P11" s="28"/>
      <c r="Q11" s="28"/>
      <c r="R11" s="11"/>
      <c r="S11" s="11"/>
      <c r="T11" s="11"/>
      <c r="U11" s="11"/>
      <c r="V11" s="11"/>
      <c r="W11" s="12"/>
    </row>
    <row r="12" spans="1:23" ht="14.4" customHeight="1" x14ac:dyDescent="0.3">
      <c r="A12" s="28"/>
      <c r="B12" s="28"/>
      <c r="C12" s="28"/>
      <c r="D12" s="28"/>
      <c r="E12" s="28"/>
      <c r="F12" s="28"/>
      <c r="G12" s="28"/>
      <c r="H12" s="28"/>
      <c r="I12" s="28"/>
      <c r="J12" s="28"/>
      <c r="K12" s="28"/>
      <c r="L12" s="28"/>
      <c r="M12" s="28"/>
      <c r="N12" s="28"/>
      <c r="O12" s="28"/>
      <c r="P12" s="28"/>
      <c r="Q12" s="28"/>
      <c r="R12" s="11"/>
      <c r="S12" s="11"/>
      <c r="T12" s="11"/>
      <c r="U12" s="11"/>
      <c r="V12" s="11"/>
      <c r="W12" s="12"/>
    </row>
    <row r="13" spans="1:23" ht="14.4" customHeight="1" x14ac:dyDescent="0.3">
      <c r="A13" s="28"/>
      <c r="B13" s="28"/>
      <c r="C13" s="28"/>
      <c r="D13" s="28"/>
      <c r="E13" s="28"/>
      <c r="F13" s="28"/>
      <c r="G13" s="28"/>
      <c r="H13" s="28"/>
      <c r="I13" s="28"/>
      <c r="J13" s="28"/>
      <c r="K13" s="28"/>
      <c r="L13" s="28"/>
      <c r="M13" s="28"/>
      <c r="N13" s="28"/>
      <c r="O13" s="28"/>
      <c r="P13" s="28"/>
      <c r="Q13" s="28"/>
      <c r="R13" s="11"/>
      <c r="S13" s="11"/>
      <c r="T13" s="11"/>
      <c r="U13" s="11"/>
      <c r="V13" s="11"/>
      <c r="W13" s="12"/>
    </row>
    <row r="14" spans="1:23" ht="14.4" customHeight="1" x14ac:dyDescent="0.3">
      <c r="A14" s="28"/>
      <c r="B14" s="28"/>
      <c r="C14" s="28"/>
      <c r="D14" s="28"/>
      <c r="E14" s="28"/>
      <c r="F14" s="28"/>
      <c r="G14" s="28"/>
      <c r="H14" s="28"/>
      <c r="I14" s="28"/>
      <c r="J14" s="28"/>
      <c r="K14" s="28"/>
      <c r="L14" s="28"/>
      <c r="M14" s="28"/>
      <c r="N14" s="28"/>
      <c r="O14" s="28"/>
      <c r="P14" s="28"/>
      <c r="Q14" s="28"/>
      <c r="R14" s="11"/>
      <c r="S14" s="11"/>
      <c r="T14" s="11"/>
      <c r="U14" s="11"/>
      <c r="V14" s="11"/>
      <c r="W14" s="12"/>
    </row>
    <row r="15" spans="1:23" x14ac:dyDescent="0.3">
      <c r="A15" s="12"/>
      <c r="B15" s="12"/>
      <c r="C15" s="12"/>
      <c r="D15" s="12"/>
      <c r="E15" s="12"/>
      <c r="F15" s="12"/>
      <c r="G15" s="12"/>
      <c r="H15" s="12"/>
      <c r="I15" s="12"/>
      <c r="J15" s="12"/>
      <c r="K15" s="12"/>
      <c r="L15" s="12"/>
      <c r="M15" s="12"/>
      <c r="N15" s="12"/>
      <c r="O15" s="12"/>
      <c r="P15" s="12"/>
      <c r="Q15" s="12"/>
      <c r="R15" s="12"/>
      <c r="S15" s="12"/>
      <c r="T15" s="12"/>
      <c r="U15" s="12"/>
      <c r="V15" s="12"/>
      <c r="W15" s="12"/>
    </row>
    <row r="16" spans="1:23" ht="17.399999999999999" customHeight="1" x14ac:dyDescent="0.3">
      <c r="A16" s="13" t="s">
        <v>17</v>
      </c>
      <c r="B16" s="12"/>
      <c r="C16" s="12"/>
      <c r="D16" s="12"/>
      <c r="E16" s="12"/>
      <c r="F16" s="12"/>
      <c r="G16" s="12"/>
      <c r="H16" s="12"/>
      <c r="I16" s="12"/>
      <c r="J16" s="12"/>
      <c r="K16" s="12"/>
      <c r="L16" s="12"/>
      <c r="M16" s="12"/>
      <c r="N16" s="12"/>
      <c r="O16" s="12"/>
      <c r="P16" s="12"/>
      <c r="Q16" s="12"/>
      <c r="R16" s="12"/>
      <c r="S16" s="12"/>
      <c r="T16" s="12"/>
      <c r="U16" s="12"/>
      <c r="V16" s="12"/>
      <c r="W16" s="12"/>
    </row>
    <row r="18" spans="1:18" x14ac:dyDescent="0.3">
      <c r="A18" s="14"/>
      <c r="B18" s="20" t="s">
        <v>18</v>
      </c>
      <c r="C18" s="20" t="s">
        <v>19</v>
      </c>
      <c r="D18" s="20" t="s">
        <v>1</v>
      </c>
    </row>
    <row r="19" spans="1:18" x14ac:dyDescent="0.3">
      <c r="A19" s="15" t="s">
        <v>21</v>
      </c>
      <c r="B19" s="16">
        <v>18.000000000000004</v>
      </c>
      <c r="C19" s="16">
        <v>12</v>
      </c>
      <c r="D19" s="16">
        <f>C19+B19</f>
        <v>30.000000000000004</v>
      </c>
      <c r="F19" s="30"/>
      <c r="G19" s="31"/>
      <c r="H19" s="30"/>
    </row>
    <row r="20" spans="1:18" x14ac:dyDescent="0.3">
      <c r="A20" s="15" t="s">
        <v>22</v>
      </c>
      <c r="B20" s="17">
        <v>100</v>
      </c>
      <c r="C20" s="17">
        <v>120</v>
      </c>
      <c r="D20" s="17"/>
      <c r="F20" s="30"/>
      <c r="G20" s="32"/>
      <c r="H20" s="33"/>
    </row>
    <row r="21" spans="1:18" x14ac:dyDescent="0.3">
      <c r="A21" s="15" t="s">
        <v>24</v>
      </c>
      <c r="B21" s="17">
        <f>B20*B19</f>
        <v>1800.0000000000005</v>
      </c>
      <c r="C21" s="17">
        <f>C19*C20</f>
        <v>1440</v>
      </c>
      <c r="D21" s="21">
        <f>B21+C21</f>
        <v>3240.0000000000005</v>
      </c>
      <c r="F21" s="30"/>
      <c r="G21" s="30"/>
      <c r="H21" s="30"/>
    </row>
    <row r="22" spans="1:18" x14ac:dyDescent="0.3">
      <c r="A22" s="15" t="s">
        <v>23</v>
      </c>
      <c r="B22" s="16">
        <v>10</v>
      </c>
      <c r="C22" s="16">
        <v>12</v>
      </c>
      <c r="D22" s="16"/>
    </row>
    <row r="23" spans="1:18" x14ac:dyDescent="0.3">
      <c r="A23" s="15" t="s">
        <v>20</v>
      </c>
      <c r="B23" s="16">
        <v>30</v>
      </c>
      <c r="C23" s="16"/>
      <c r="D23" s="16"/>
    </row>
    <row r="24" spans="1:18" x14ac:dyDescent="0.3">
      <c r="A24" s="1" t="s">
        <v>30</v>
      </c>
    </row>
    <row r="25" spans="1:18" ht="30.6" customHeight="1" x14ac:dyDescent="0.3">
      <c r="A25" s="34" t="s">
        <v>25</v>
      </c>
      <c r="B25" s="34"/>
      <c r="C25" s="34"/>
      <c r="D25" s="34"/>
      <c r="E25" s="34"/>
      <c r="F25" s="34"/>
      <c r="G25" s="34"/>
      <c r="H25" s="34"/>
      <c r="I25" s="34"/>
      <c r="J25" s="34"/>
      <c r="K25" s="34"/>
      <c r="L25" s="34"/>
      <c r="M25" s="34"/>
      <c r="N25" s="34"/>
      <c r="O25" s="34"/>
      <c r="P25" s="34"/>
      <c r="Q25" s="34"/>
      <c r="R25" s="12"/>
    </row>
    <row r="26" spans="1:18" x14ac:dyDescent="0.3">
      <c r="A26" s="12"/>
      <c r="B26" s="12"/>
      <c r="C26" s="12"/>
      <c r="D26" s="12"/>
      <c r="E26" s="12"/>
      <c r="F26" s="12"/>
      <c r="G26" s="12"/>
      <c r="H26" s="12"/>
      <c r="I26" s="12"/>
      <c r="J26" s="12"/>
      <c r="K26" s="12"/>
      <c r="L26" s="12"/>
      <c r="M26" s="12"/>
      <c r="N26" s="12"/>
      <c r="O26" s="12"/>
      <c r="P26" s="12"/>
      <c r="Q26" s="12"/>
      <c r="R26" s="12"/>
    </row>
  </sheetData>
  <mergeCells count="2">
    <mergeCell ref="A1:Q14"/>
    <mergeCell ref="A25:Q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Profit Maximization</vt:lpstr>
      <vt:lpstr>Cost Minimization</vt:lpstr>
      <vt:lpstr>Cost Minization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Srajankumar Angadi</dc:creator>
  <cp:lastModifiedBy>Srajankumar Angadi</cp:lastModifiedBy>
  <dcterms:created xsi:type="dcterms:W3CDTF">2024-06-17T08:11:21Z</dcterms:created>
  <dcterms:modified xsi:type="dcterms:W3CDTF">2026-05-22T06:43:11Z</dcterms:modified>
</cp:coreProperties>
</file>